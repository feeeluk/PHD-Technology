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c6f60b40ba590f/Career/Roles/PDH Technology/"/>
    </mc:Choice>
  </mc:AlternateContent>
  <xr:revisionPtr revIDLastSave="1769" documentId="13_ncr:2001_{71DC39A8-EC69-415E-A63F-8E8AF5AAD5BE}" xr6:coauthVersionLast="47" xr6:coauthVersionMax="47" xr10:uidLastSave="{BA70D851-DD19-4F35-A489-48CBB6BC4EBE}"/>
  <bookViews>
    <workbookView xWindow="-120" yWindow="-120" windowWidth="29040" windowHeight="15720" xr2:uid="{6206793F-CB54-4DF6-B8F7-7C9C09AABD4E}"/>
  </bookViews>
  <sheets>
    <sheet name="Overview" sheetId="3" r:id="rId1"/>
    <sheet name="Descriptions" sheetId="5" r:id="rId2"/>
    <sheet name="3rd Party Services" sheetId="6" r:id="rId3"/>
    <sheet name="Customer Mix" sheetId="7" r:id="rId4"/>
    <sheet name="Outgoings" sheetId="2" r:id="rId5"/>
    <sheet name="Forecast" sheetId="10" r:id="rId6"/>
    <sheet name="Summary" sheetId="8" r:id="rId7"/>
    <sheet name="Finance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3" l="1"/>
  <c r="K11" i="3"/>
  <c r="P10" i="10"/>
  <c r="G10" i="10"/>
  <c r="G26" i="10"/>
  <c r="F26" i="10"/>
  <c r="P26" i="10"/>
  <c r="Y26" i="10"/>
  <c r="X26" i="10"/>
  <c r="O26" i="10"/>
  <c r="Y19" i="10"/>
  <c r="Y20" i="10"/>
  <c r="Y21" i="10"/>
  <c r="G19" i="10"/>
  <c r="G20" i="10"/>
  <c r="G21" i="10"/>
  <c r="P19" i="10"/>
  <c r="P20" i="10"/>
  <c r="P21" i="10"/>
  <c r="F25" i="10"/>
  <c r="AF14" i="10"/>
  <c r="P23" i="10" s="1"/>
  <c r="AF13" i="10"/>
  <c r="G22" i="10" s="1"/>
  <c r="AF15" i="10"/>
  <c r="Y24" i="10" s="1"/>
  <c r="AF16" i="10"/>
  <c r="P25" i="10" s="1"/>
  <c r="X25" i="10"/>
  <c r="O25" i="10"/>
  <c r="X24" i="10"/>
  <c r="O24" i="10"/>
  <c r="F24" i="10"/>
  <c r="X23" i="10"/>
  <c r="O23" i="10"/>
  <c r="F23" i="10"/>
  <c r="X22" i="10"/>
  <c r="O22" i="10"/>
  <c r="F22" i="10"/>
  <c r="X21" i="10"/>
  <c r="O21" i="10"/>
  <c r="F21" i="10"/>
  <c r="X20" i="10"/>
  <c r="O20" i="10"/>
  <c r="F20" i="10"/>
  <c r="X19" i="10"/>
  <c r="O19" i="10"/>
  <c r="F19" i="10"/>
  <c r="V6" i="10"/>
  <c r="W16" i="10" s="1"/>
  <c r="X16" i="10" s="1"/>
  <c r="Y16" i="10" s="1"/>
  <c r="C6" i="10"/>
  <c r="C5" i="10" s="1"/>
  <c r="F6" i="7"/>
  <c r="H6" i="7"/>
  <c r="G6" i="7"/>
  <c r="P18" i="7"/>
  <c r="P19" i="7"/>
  <c r="P20" i="7"/>
  <c r="P21" i="7"/>
  <c r="L18" i="7"/>
  <c r="L19" i="7"/>
  <c r="L20" i="7"/>
  <c r="L21" i="7"/>
  <c r="H18" i="7"/>
  <c r="H19" i="7"/>
  <c r="H20" i="7"/>
  <c r="H21" i="7"/>
  <c r="P17" i="7"/>
  <c r="P16" i="7"/>
  <c r="P15" i="7"/>
  <c r="L17" i="7"/>
  <c r="L16" i="7"/>
  <c r="L15" i="7"/>
  <c r="H16" i="7"/>
  <c r="H17" i="7"/>
  <c r="H15" i="7"/>
  <c r="D12" i="2"/>
  <c r="D6" i="2"/>
  <c r="D7" i="2"/>
  <c r="D8" i="2"/>
  <c r="D9" i="2"/>
  <c r="D10" i="2"/>
  <c r="D11" i="2"/>
  <c r="D5" i="2"/>
  <c r="D13" i="2" s="1"/>
  <c r="E15" i="2" s="1"/>
  <c r="E5" i="2"/>
  <c r="E13" i="2" s="1"/>
  <c r="E16" i="2" s="1"/>
  <c r="P3" i="7"/>
  <c r="O6" i="7" s="1"/>
  <c r="P6" i="7" s="1"/>
  <c r="H3" i="7"/>
  <c r="F7" i="7" s="1"/>
  <c r="H7" i="7" s="1"/>
  <c r="K10" i="3"/>
  <c r="K9" i="3"/>
  <c r="K8" i="3"/>
  <c r="K7" i="3"/>
  <c r="K6" i="3"/>
  <c r="K5" i="3"/>
  <c r="H7" i="1"/>
  <c r="F7" i="1"/>
  <c r="G7" i="1" s="1"/>
  <c r="H4" i="1"/>
  <c r="H5" i="1"/>
  <c r="H6" i="1"/>
  <c r="H9" i="1"/>
  <c r="H8" i="1"/>
  <c r="F5" i="1"/>
  <c r="G5" i="1" s="1"/>
  <c r="F6" i="1"/>
  <c r="G6" i="1" s="1"/>
  <c r="F8" i="1"/>
  <c r="G8" i="1" s="1"/>
  <c r="F9" i="1"/>
  <c r="G9" i="1" s="1"/>
  <c r="F4" i="1"/>
  <c r="G4" i="1" s="1"/>
  <c r="G25" i="10" l="1"/>
  <c r="Y25" i="10"/>
  <c r="P22" i="10"/>
  <c r="G24" i="10"/>
  <c r="Y23" i="10"/>
  <c r="G23" i="10"/>
  <c r="Y22" i="10"/>
  <c r="P24" i="10"/>
  <c r="F27" i="10"/>
  <c r="X27" i="10"/>
  <c r="O27" i="10"/>
  <c r="M6" i="10"/>
  <c r="N16" i="10" s="1"/>
  <c r="O16" i="10" s="1"/>
  <c r="P16" i="10" s="1"/>
  <c r="W15" i="10"/>
  <c r="X15" i="10" s="1"/>
  <c r="W14" i="10"/>
  <c r="X14" i="10" s="1"/>
  <c r="V5" i="10"/>
  <c r="W10" i="10"/>
  <c r="X10" i="10" s="1"/>
  <c r="Y10" i="10" s="1"/>
  <c r="W11" i="10"/>
  <c r="X11" i="10" s="1"/>
  <c r="D13" i="10"/>
  <c r="F13" i="10" s="1"/>
  <c r="D12" i="10"/>
  <c r="F12" i="10" s="1"/>
  <c r="W13" i="10"/>
  <c r="X13" i="10" s="1"/>
  <c r="E10" i="10"/>
  <c r="F10" i="10" s="1"/>
  <c r="W12" i="10"/>
  <c r="X12" i="10" s="1"/>
  <c r="D14" i="10"/>
  <c r="F14" i="10" s="1"/>
  <c r="D16" i="10"/>
  <c r="F16" i="10" s="1"/>
  <c r="G16" i="10" s="1"/>
  <c r="D11" i="10"/>
  <c r="F11" i="10" s="1"/>
  <c r="D15" i="10"/>
  <c r="F15" i="10" s="1"/>
  <c r="D10" i="10"/>
  <c r="O9" i="7"/>
  <c r="P9" i="7" s="1"/>
  <c r="F12" i="7"/>
  <c r="H12" i="7" s="1"/>
  <c r="F3" i="7"/>
  <c r="H22" i="7"/>
  <c r="F9" i="7"/>
  <c r="H9" i="7" s="1"/>
  <c r="O12" i="7"/>
  <c r="P12" i="7" s="1"/>
  <c r="O11" i="7"/>
  <c r="P11" i="7" s="1"/>
  <c r="O10" i="7"/>
  <c r="P10" i="7" s="1"/>
  <c r="O3" i="7"/>
  <c r="F11" i="7"/>
  <c r="H11" i="7" s="1"/>
  <c r="F10" i="7"/>
  <c r="H10" i="7" s="1"/>
  <c r="P22" i="7"/>
  <c r="L22" i="7"/>
  <c r="F8" i="7"/>
  <c r="H8" i="7" s="1"/>
  <c r="O8" i="7"/>
  <c r="P8" i="7" s="1"/>
  <c r="L3" i="7"/>
  <c r="K3" i="7" s="1"/>
  <c r="O7" i="7"/>
  <c r="P7" i="7" s="1"/>
  <c r="E18" i="2"/>
  <c r="G10" i="1"/>
  <c r="G12" i="1" s="1"/>
  <c r="H10" i="1"/>
  <c r="H12" i="1" s="1"/>
  <c r="F10" i="1"/>
  <c r="F12" i="1" s="1"/>
  <c r="Y27" i="10" l="1"/>
  <c r="P27" i="10"/>
  <c r="G27" i="10"/>
  <c r="N11" i="10"/>
  <c r="O11" i="10" s="1"/>
  <c r="N12" i="10"/>
  <c r="O12" i="10" s="1"/>
  <c r="N15" i="10"/>
  <c r="O15" i="10" s="1"/>
  <c r="N13" i="10"/>
  <c r="O13" i="10" s="1"/>
  <c r="N10" i="10"/>
  <c r="O10" i="10" s="1"/>
  <c r="M5" i="10"/>
  <c r="N14" i="10"/>
  <c r="O14" i="10" s="1"/>
  <c r="K6" i="7"/>
  <c r="L6" i="7" s="1"/>
  <c r="K12" i="7"/>
  <c r="L12" i="7" s="1"/>
  <c r="K11" i="7"/>
  <c r="L11" i="7" s="1"/>
  <c r="K10" i="7"/>
  <c r="L10" i="7" s="1"/>
  <c r="K9" i="7"/>
  <c r="L9" i="7" s="1"/>
  <c r="K8" i="7"/>
  <c r="L8" i="7" s="1"/>
  <c r="K7" i="7"/>
  <c r="L7" i="7" s="1"/>
</calcChain>
</file>

<file path=xl/sharedStrings.xml><?xml version="1.0" encoding="utf-8"?>
<sst xmlns="http://schemas.openxmlformats.org/spreadsheetml/2006/main" count="281" uniqueCount="110">
  <si>
    <t>Tier 1</t>
  </si>
  <si>
    <t>Tier 2</t>
  </si>
  <si>
    <t>Customer type</t>
  </si>
  <si>
    <t>Price</t>
  </si>
  <si>
    <t>Tier 3</t>
  </si>
  <si>
    <t>Monthly Income</t>
  </si>
  <si>
    <t>Effort (days)</t>
  </si>
  <si>
    <t>Tier 1 - build (one-off)</t>
  </si>
  <si>
    <t>Tier 3 - maintainance  (monthly)</t>
  </si>
  <si>
    <t>Tier 2 - build (one-off)</t>
  </si>
  <si>
    <t>Tier 3 - build (one-off)</t>
  </si>
  <si>
    <t>Monthly Effort (days)</t>
  </si>
  <si>
    <t>Domain registration</t>
  </si>
  <si>
    <t>Domain hosting</t>
  </si>
  <si>
    <t>Broadband</t>
  </si>
  <si>
    <t>Mobile</t>
  </si>
  <si>
    <t>Profit</t>
  </si>
  <si>
    <t>Monthly Profit</t>
  </si>
  <si>
    <t>Monthly goal</t>
  </si>
  <si>
    <t>Tier 1 &amp; 2 - maintainance (monthly)</t>
  </si>
  <si>
    <t>Tier 1 &amp; 2 - additional work (monthly)</t>
  </si>
  <si>
    <t>YEARLY</t>
  </si>
  <si>
    <t>Advertising / marketing / business development</t>
  </si>
  <si>
    <t>Photography</t>
  </si>
  <si>
    <t>Copywriting</t>
  </si>
  <si>
    <t>Graphic design</t>
  </si>
  <si>
    <t>Business Analysis</t>
  </si>
  <si>
    <t>Software / development</t>
  </si>
  <si>
    <t>Artificial Intelligence</t>
  </si>
  <si>
    <t>Skills &amp; Training</t>
  </si>
  <si>
    <t>Digital Media &amp; Marketing</t>
  </si>
  <si>
    <t>5 days</t>
  </si>
  <si>
    <t>10 days</t>
  </si>
  <si>
    <t>1 hour</t>
  </si>
  <si>
    <t>FREE</t>
  </si>
  <si>
    <t>Initial consultation</t>
  </si>
  <si>
    <t>x</t>
  </si>
  <si>
    <t>Ad-hoc</t>
  </si>
  <si>
    <t>Block bookings</t>
  </si>
  <si>
    <t>Data</t>
  </si>
  <si>
    <t>Digital Transition</t>
  </si>
  <si>
    <t>Digital Projects</t>
  </si>
  <si>
    <t>Proof of Concepts</t>
  </si>
  <si>
    <t>UI / UX</t>
  </si>
  <si>
    <t>One-off</t>
  </si>
  <si>
    <t>Regulars</t>
  </si>
  <si>
    <t>Regular</t>
  </si>
  <si>
    <t>A customer who will likely use us for one particular service or project</t>
  </si>
  <si>
    <t>A customer who will likely keep coming back for repeat business. That covers any customer, whether for a standard annual product review, or possible additional work</t>
  </si>
  <si>
    <t>Descriptions:</t>
  </si>
  <si>
    <t>1 day (8 hours)</t>
  </si>
  <si>
    <t>1/2 day (3 hours)</t>
  </si>
  <si>
    <t>Monthly</t>
  </si>
  <si>
    <t>Annually</t>
  </si>
  <si>
    <t>MS Office 365</t>
  </si>
  <si>
    <t>Travel</t>
  </si>
  <si>
    <t>Meetings</t>
  </si>
  <si>
    <t>Office costs</t>
  </si>
  <si>
    <t>Gross annual:</t>
  </si>
  <si>
    <t>Net annual:</t>
  </si>
  <si>
    <t>Week</t>
  </si>
  <si>
    <t>Month</t>
  </si>
  <si>
    <t>Year</t>
  </si>
  <si>
    <t>Hours per day</t>
  </si>
  <si>
    <t>Days per week</t>
  </si>
  <si>
    <t>Weeks per year</t>
  </si>
  <si>
    <t>Holiday days per year</t>
  </si>
  <si>
    <t>Months per year</t>
  </si>
  <si>
    <t>1st year discount</t>
  </si>
  <si>
    <t>Discount:</t>
  </si>
  <si>
    <t>Number of Customers</t>
  </si>
  <si>
    <t>A Mix of Customer Types</t>
  </si>
  <si>
    <t>Rate per Hour</t>
  </si>
  <si>
    <t>RATES</t>
  </si>
  <si>
    <t>Services Offered</t>
  </si>
  <si>
    <t>Types of Customers</t>
  </si>
  <si>
    <t>Frequency of Business</t>
  </si>
  <si>
    <t>Figures</t>
  </si>
  <si>
    <t>Tier 4</t>
  </si>
  <si>
    <t>Tier 5</t>
  </si>
  <si>
    <t>Tier 6</t>
  </si>
  <si>
    <t>Tier 1 - hours per year</t>
  </si>
  <si>
    <t>Tier 2 - hours per year</t>
  </si>
  <si>
    <t>Tier 3 - hours per year</t>
  </si>
  <si>
    <t>Tier 4 - hours per year</t>
  </si>
  <si>
    <t>Tier 5 - hours per year</t>
  </si>
  <si>
    <t>Tier 6 - hours per year</t>
  </si>
  <si>
    <t>A customer who purchases a block of 5 days, or who is likely to spend more than that per year</t>
  </si>
  <si>
    <t>Tier 7</t>
  </si>
  <si>
    <t>A customer who purchases individual days and is not likely to spend more than  5 days per year</t>
  </si>
  <si>
    <t>A customer who purchases individual days and is not likely to spend more than  3 days per year</t>
  </si>
  <si>
    <t>A customer who purchases by less than a day and is not likely to spend more than 3 days per year</t>
  </si>
  <si>
    <t>Tier 7 - hours per year</t>
  </si>
  <si>
    <t xml:space="preserve">Some Very Rough Examples of the Numbers (and Types) of Customers needed to Hit Goals </t>
  </si>
  <si>
    <t>By Individual Customer Type</t>
  </si>
  <si>
    <t>Hours</t>
  </si>
  <si>
    <t>Outgoings</t>
  </si>
  <si>
    <t>A customer who purchases a block of 20 or more days, or who is likely to spend more than that per year. Most profitable</t>
  </si>
  <si>
    <t xml:space="preserve">A customer who purchases a block of 10 days, or who is likely to spend more than that per year. </t>
  </si>
  <si>
    <t xml:space="preserve">A customer who purchases by less than a day and is not likely to spend more than a day per year. </t>
  </si>
  <si>
    <t>Tier 8</t>
  </si>
  <si>
    <t>A customer who purchases by less than a day and is not likely to spend more than an hour per year. Least profitable.</t>
  </si>
  <si>
    <t>Tier 8 - hours per year</t>
  </si>
  <si>
    <t>15 days</t>
  </si>
  <si>
    <t>20 days</t>
  </si>
  <si>
    <t>20+ days (special day rate applies)</t>
  </si>
  <si>
    <t>Effort</t>
  </si>
  <si>
    <t>Low</t>
  </si>
  <si>
    <t>High</t>
  </si>
  <si>
    <t>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</si>
</sst>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£&quot;#,##0.00;\-&quot;£&quot;#,##0.00"/>
    <numFmt numFmtId="164" formatCode="&quot;£&quot;#,##0"/>
    <numFmt numFmtId="165" formatCode="&quot;£&quot;#,##0.00"/>
    <numFmt numFmtId="166" formatCode="&quot;£&quot;#,##0.0"/>
    <numFmt numFmtId="167" formatCode="0&quot; (days)&quot;"/>
    <numFmt numFmtId="168" formatCode="0&quot; (hours)&quot;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9" fontId="0" fillId="0" borderId="1" xfId="1" applyFont="1" applyBorder="1"/>
    <xf numFmtId="164" fontId="3" fillId="0" borderId="4" xfId="0" applyNumberFormat="1" applyFont="1" applyBorder="1"/>
    <xf numFmtId="0" fontId="3" fillId="0" borderId="5" xfId="0" applyFont="1" applyBorder="1"/>
    <xf numFmtId="0" fontId="3" fillId="0" borderId="2" xfId="0" applyFont="1" applyBorder="1" applyAlignment="1">
      <alignment horizontal="center"/>
    </xf>
    <xf numFmtId="164" fontId="0" fillId="0" borderId="1" xfId="1" applyNumberFormat="1" applyFont="1" applyBorder="1"/>
    <xf numFmtId="164" fontId="2" fillId="0" borderId="4" xfId="0" applyNumberFormat="1" applyFont="1" applyBorder="1"/>
    <xf numFmtId="0" fontId="2" fillId="0" borderId="4" xfId="0" applyFont="1" applyBorder="1"/>
    <xf numFmtId="164" fontId="2" fillId="0" borderId="3" xfId="0" applyNumberFormat="1" applyFont="1" applyBorder="1"/>
    <xf numFmtId="0" fontId="2" fillId="0" borderId="5" xfId="0" applyFont="1" applyBorder="1"/>
    <xf numFmtId="0" fontId="2" fillId="0" borderId="3" xfId="0" applyFont="1" applyBorder="1"/>
    <xf numFmtId="0" fontId="0" fillId="0" borderId="6" xfId="0" applyBorder="1"/>
    <xf numFmtId="164" fontId="0" fillId="0" borderId="7" xfId="1" applyNumberFormat="1" applyFont="1" applyBorder="1"/>
    <xf numFmtId="9" fontId="0" fillId="0" borderId="7" xfId="1" applyFont="1" applyBorder="1"/>
    <xf numFmtId="0" fontId="0" fillId="0" borderId="7" xfId="0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  <xf numFmtId="164" fontId="0" fillId="0" borderId="0" xfId="1" applyNumberFormat="1" applyFont="1" applyBorder="1"/>
    <xf numFmtId="9" fontId="0" fillId="0" borderId="0" xfId="1" applyFont="1" applyBorder="1"/>
    <xf numFmtId="16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17" fontId="0" fillId="0" borderId="0" xfId="0" applyNumberFormat="1"/>
    <xf numFmtId="0" fontId="0" fillId="0" borderId="13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17" fontId="2" fillId="0" borderId="17" xfId="0" applyNumberFormat="1" applyFont="1" applyBorder="1"/>
    <xf numFmtId="0" fontId="2" fillId="0" borderId="18" xfId="0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5" fontId="0" fillId="0" borderId="0" xfId="0" applyNumberFormat="1"/>
    <xf numFmtId="165" fontId="0" fillId="0" borderId="0" xfId="0" applyNumberFormat="1" applyAlignment="1">
      <alignment horizontal="right" vertical="center"/>
    </xf>
    <xf numFmtId="0" fontId="5" fillId="0" borderId="1" xfId="0" applyFont="1" applyBorder="1" applyAlignment="1">
      <alignment horizontal="right" vertical="top"/>
    </xf>
    <xf numFmtId="165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7" fontId="0" fillId="0" borderId="0" xfId="0" applyNumberFormat="1"/>
    <xf numFmtId="165" fontId="2" fillId="0" borderId="1" xfId="0" applyNumberFormat="1" applyFont="1" applyBorder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20" xfId="0" applyFont="1" applyBorder="1"/>
    <xf numFmtId="1" fontId="0" fillId="0" borderId="22" xfId="0" applyNumberFormat="1" applyBorder="1"/>
    <xf numFmtId="0" fontId="2" fillId="0" borderId="2" xfId="0" applyFont="1" applyBorder="1"/>
    <xf numFmtId="0" fontId="0" fillId="0" borderId="2" xfId="0" applyBorder="1"/>
    <xf numFmtId="0" fontId="2" fillId="0" borderId="22" xfId="0" applyFont="1" applyBorder="1"/>
    <xf numFmtId="1" fontId="0" fillId="0" borderId="12" xfId="0" applyNumberFormat="1" applyBorder="1"/>
    <xf numFmtId="0" fontId="0" fillId="0" borderId="20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0" borderId="23" xfId="0" applyFont="1" applyBorder="1"/>
    <xf numFmtId="166" fontId="0" fillId="0" borderId="14" xfId="0" applyNumberFormat="1" applyBorder="1" applyAlignment="1">
      <alignment horizontal="center" vertical="center"/>
    </xf>
    <xf numFmtId="0" fontId="0" fillId="0" borderId="23" xfId="0" applyBorder="1"/>
    <xf numFmtId="0" fontId="2" fillId="0" borderId="13" xfId="0" applyFont="1" applyBorder="1"/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0" fillId="0" borderId="24" xfId="0" applyBorder="1"/>
    <xf numFmtId="0" fontId="0" fillId="0" borderId="18" xfId="0" applyBorder="1"/>
    <xf numFmtId="0" fontId="2" fillId="0" borderId="3" xfId="0" applyFont="1" applyBorder="1" applyAlignment="1">
      <alignment horizontal="left" vertical="top"/>
    </xf>
    <xf numFmtId="0" fontId="0" fillId="0" borderId="25" xfId="0" applyBorder="1"/>
    <xf numFmtId="0" fontId="6" fillId="0" borderId="0" xfId="0" applyFont="1"/>
    <xf numFmtId="1" fontId="0" fillId="0" borderId="2" xfId="0" applyNumberFormat="1" applyBorder="1"/>
    <xf numFmtId="0" fontId="0" fillId="2" borderId="2" xfId="0" applyFill="1" applyBorder="1"/>
    <xf numFmtId="1" fontId="0" fillId="2" borderId="2" xfId="0" applyNumberFormat="1" applyFill="1" applyBorder="1"/>
    <xf numFmtId="167" fontId="0" fillId="0" borderId="4" xfId="0" applyNumberFormat="1" applyBorder="1" applyAlignment="1">
      <alignment horizontal="left" vertical="top"/>
    </xf>
    <xf numFmtId="168" fontId="0" fillId="0" borderId="5" xfId="0" applyNumberForma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165" fontId="2" fillId="0" borderId="7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center"/>
    </xf>
    <xf numFmtId="165" fontId="0" fillId="0" borderId="7" xfId="0" applyNumberFormat="1" applyBorder="1" applyAlignment="1">
      <alignment horizontal="left" vertical="top"/>
    </xf>
    <xf numFmtId="0" fontId="7" fillId="0" borderId="0" xfId="0" applyFont="1"/>
    <xf numFmtId="2" fontId="0" fillId="0" borderId="20" xfId="0" applyNumberFormat="1" applyBorder="1"/>
    <xf numFmtId="164" fontId="0" fillId="0" borderId="0" xfId="0" applyNumberFormat="1" applyAlignment="1">
      <alignment horizontal="center" vertical="center"/>
    </xf>
    <xf numFmtId="164" fontId="0" fillId="0" borderId="21" xfId="0" applyNumberFormat="1" applyBorder="1"/>
    <xf numFmtId="164" fontId="0" fillId="0" borderId="22" xfId="0" applyNumberFormat="1" applyBorder="1"/>
    <xf numFmtId="0" fontId="2" fillId="0" borderId="11" xfId="0" applyFont="1" applyBorder="1"/>
    <xf numFmtId="164" fontId="0" fillId="0" borderId="20" xfId="0" applyNumberFormat="1" applyBorder="1"/>
    <xf numFmtId="0" fontId="0" fillId="0" borderId="26" xfId="0" applyBorder="1"/>
    <xf numFmtId="164" fontId="0" fillId="0" borderId="24" xfId="0" applyNumberFormat="1" applyBorder="1"/>
    <xf numFmtId="0" fontId="0" fillId="0" borderId="27" xfId="0" applyBorder="1"/>
    <xf numFmtId="0" fontId="0" fillId="0" borderId="0" xfId="0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66" fontId="0" fillId="0" borderId="15" xfId="0" applyNumberFormat="1" applyBorder="1" applyAlignment="1">
      <alignment horizontal="center" vertical="center"/>
    </xf>
    <xf numFmtId="0" fontId="2" fillId="0" borderId="0" xfId="0" applyFont="1" applyBorder="1"/>
    <xf numFmtId="164" fontId="0" fillId="0" borderId="0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0" fontId="2" fillId="0" borderId="6" xfId="0" applyFont="1" applyBorder="1" applyAlignment="1">
      <alignment horizontal="left" vertical="top"/>
    </xf>
    <xf numFmtId="0" fontId="2" fillId="0" borderId="3" xfId="0" applyFont="1" applyFill="1" applyBorder="1"/>
    <xf numFmtId="0" fontId="0" fillId="0" borderId="3" xfId="0" applyBorder="1"/>
    <xf numFmtId="0" fontId="0" fillId="2" borderId="3" xfId="0" applyFill="1" applyBorder="1"/>
    <xf numFmtId="164" fontId="0" fillId="0" borderId="2" xfId="0" applyNumberFormat="1" applyBorder="1"/>
    <xf numFmtId="165" fontId="0" fillId="0" borderId="2" xfId="0" applyNumberFormat="1" applyBorder="1"/>
    <xf numFmtId="167" fontId="0" fillId="0" borderId="0" xfId="0" applyNumberFormat="1" applyBorder="1" applyAlignment="1">
      <alignment horizontal="left" vertical="top"/>
    </xf>
    <xf numFmtId="168" fontId="0" fillId="0" borderId="0" xfId="0" applyNumberFormat="1" applyBorder="1" applyAlignment="1">
      <alignment horizontal="left" vertical="top"/>
    </xf>
    <xf numFmtId="0" fontId="0" fillId="0" borderId="0" xfId="0" applyBorder="1"/>
    <xf numFmtId="0" fontId="2" fillId="0" borderId="2" xfId="0" applyFont="1" applyFill="1" applyBorder="1"/>
    <xf numFmtId="0" fontId="2" fillId="0" borderId="24" xfId="0" applyFont="1" applyBorder="1"/>
    <xf numFmtId="0" fontId="0" fillId="0" borderId="24" xfId="0" applyFill="1" applyBorder="1"/>
    <xf numFmtId="0" fontId="0" fillId="0" borderId="0" xfId="0" applyFill="1" applyBorder="1"/>
    <xf numFmtId="0" fontId="0" fillId="0" borderId="17" xfId="0" applyBorder="1" applyAlignment="1">
      <alignment horizontal="center"/>
    </xf>
    <xf numFmtId="0" fontId="8" fillId="0" borderId="0" xfId="0" applyFont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1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518C-B0C3-423C-B657-6E839D768B0B}">
  <dimension ref="B1:N12"/>
  <sheetViews>
    <sheetView tabSelected="1" workbookViewId="0">
      <selection activeCell="F9" sqref="F9"/>
    </sheetView>
  </sheetViews>
  <sheetFormatPr defaultRowHeight="15" x14ac:dyDescent="0.25"/>
  <cols>
    <col min="1" max="1" width="1.7109375" customWidth="1"/>
    <col min="2" max="2" width="27.28515625" bestFit="1" customWidth="1"/>
    <col min="3" max="3" width="1.7109375" customWidth="1"/>
    <col min="4" max="4" width="19.28515625" bestFit="1" customWidth="1"/>
    <col min="5" max="5" width="1.7109375" customWidth="1"/>
    <col min="6" max="6" width="21.7109375" bestFit="1" customWidth="1"/>
    <col min="7" max="7" width="1.7109375" customWidth="1"/>
    <col min="8" max="8" width="32.140625" bestFit="1" customWidth="1"/>
    <col min="9" max="11" width="14.85546875" customWidth="1"/>
    <col min="12" max="12" width="11.5703125" customWidth="1"/>
    <col min="13" max="13" width="10.28515625" bestFit="1" customWidth="1"/>
  </cols>
  <sheetData>
    <row r="1" spans="2:14" ht="15.75" thickBot="1" x14ac:dyDescent="0.3">
      <c r="H1" s="94"/>
      <c r="I1" s="94"/>
      <c r="J1" s="94"/>
      <c r="K1" s="94"/>
      <c r="L1" s="94"/>
      <c r="M1" s="94"/>
      <c r="N1" s="94"/>
    </row>
    <row r="2" spans="2:14" ht="15.75" thickBot="1" x14ac:dyDescent="0.3">
      <c r="B2" s="63" t="s">
        <v>74</v>
      </c>
      <c r="D2" s="66" t="s">
        <v>75</v>
      </c>
      <c r="F2" s="63" t="s">
        <v>76</v>
      </c>
      <c r="I2" s="95" t="s">
        <v>73</v>
      </c>
      <c r="J2" s="96"/>
      <c r="L2" s="27"/>
      <c r="M2" s="27"/>
    </row>
    <row r="3" spans="2:14" ht="15.75" thickBot="1" x14ac:dyDescent="0.3">
      <c r="B3" s="61" t="s">
        <v>26</v>
      </c>
      <c r="D3" s="60" t="s">
        <v>0</v>
      </c>
      <c r="F3" s="61" t="s">
        <v>44</v>
      </c>
      <c r="I3" s="28" t="s">
        <v>37</v>
      </c>
      <c r="J3" s="28" t="s">
        <v>38</v>
      </c>
      <c r="K3" s="65" t="s">
        <v>72</v>
      </c>
    </row>
    <row r="4" spans="2:14" ht="15.75" thickBot="1" x14ac:dyDescent="0.3">
      <c r="B4" s="61" t="s">
        <v>39</v>
      </c>
      <c r="D4" s="61" t="s">
        <v>1</v>
      </c>
      <c r="F4" s="62" t="s">
        <v>45</v>
      </c>
      <c r="H4" s="33" t="s">
        <v>35</v>
      </c>
      <c r="I4" s="32" t="s">
        <v>34</v>
      </c>
      <c r="J4" s="28"/>
      <c r="K4" s="60"/>
    </row>
    <row r="5" spans="2:14" x14ac:dyDescent="0.25">
      <c r="B5" s="61" t="s">
        <v>42</v>
      </c>
      <c r="D5" s="61" t="s">
        <v>4</v>
      </c>
      <c r="H5" s="34" t="s">
        <v>33</v>
      </c>
      <c r="I5" s="29">
        <v>59</v>
      </c>
      <c r="J5" s="30" t="s">
        <v>36</v>
      </c>
      <c r="K5" s="64">
        <f>I5</f>
        <v>59</v>
      </c>
    </row>
    <row r="6" spans="2:14" x14ac:dyDescent="0.25">
      <c r="B6" s="61" t="s">
        <v>27</v>
      </c>
      <c r="D6" s="61" t="s">
        <v>78</v>
      </c>
      <c r="H6" s="34" t="s">
        <v>51</v>
      </c>
      <c r="I6" s="29">
        <v>150</v>
      </c>
      <c r="J6" s="30" t="s">
        <v>36</v>
      </c>
      <c r="K6" s="64">
        <f>I6/3</f>
        <v>50</v>
      </c>
    </row>
    <row r="7" spans="2:14" x14ac:dyDescent="0.25">
      <c r="B7" s="61" t="s">
        <v>40</v>
      </c>
      <c r="D7" s="61" t="s">
        <v>79</v>
      </c>
      <c r="H7" s="34" t="s">
        <v>50</v>
      </c>
      <c r="I7" s="29">
        <v>320</v>
      </c>
      <c r="J7" s="29" t="s">
        <v>36</v>
      </c>
      <c r="K7" s="64">
        <f>I7/8</f>
        <v>40</v>
      </c>
    </row>
    <row r="8" spans="2:14" x14ac:dyDescent="0.25">
      <c r="B8" s="61" t="s">
        <v>41</v>
      </c>
      <c r="D8" s="61" t="s">
        <v>80</v>
      </c>
      <c r="H8" s="34" t="s">
        <v>31</v>
      </c>
      <c r="I8" s="30" t="s">
        <v>36</v>
      </c>
      <c r="J8" s="29">
        <v>1400</v>
      </c>
      <c r="K8" s="64">
        <f>J8/(5*8)</f>
        <v>35</v>
      </c>
    </row>
    <row r="9" spans="2:14" x14ac:dyDescent="0.25">
      <c r="B9" s="61" t="s">
        <v>43</v>
      </c>
      <c r="D9" s="61" t="s">
        <v>88</v>
      </c>
      <c r="H9" s="35" t="s">
        <v>32</v>
      </c>
      <c r="I9" s="30" t="s">
        <v>36</v>
      </c>
      <c r="J9" s="29">
        <v>2600</v>
      </c>
      <c r="K9" s="64">
        <f>J9/(10*8)</f>
        <v>32.5</v>
      </c>
    </row>
    <row r="10" spans="2:14" ht="15.75" thickBot="1" x14ac:dyDescent="0.3">
      <c r="B10" s="61" t="s">
        <v>29</v>
      </c>
      <c r="D10" s="62" t="s">
        <v>100</v>
      </c>
      <c r="H10" s="35" t="s">
        <v>103</v>
      </c>
      <c r="I10" s="30" t="s">
        <v>36</v>
      </c>
      <c r="J10" s="29">
        <v>3700</v>
      </c>
      <c r="K10" s="64">
        <f>J10/(15*8)</f>
        <v>30.833333333333332</v>
      </c>
    </row>
    <row r="11" spans="2:14" x14ac:dyDescent="0.25">
      <c r="B11" s="61" t="s">
        <v>28</v>
      </c>
      <c r="H11" s="35" t="s">
        <v>104</v>
      </c>
      <c r="I11" s="30" t="s">
        <v>36</v>
      </c>
      <c r="J11" s="29">
        <v>4800</v>
      </c>
      <c r="K11" s="64">
        <f>J11/(20*8)</f>
        <v>30</v>
      </c>
    </row>
    <row r="12" spans="2:14" ht="15.75" thickBot="1" x14ac:dyDescent="0.3">
      <c r="B12" s="62" t="s">
        <v>30</v>
      </c>
      <c r="H12" s="36" t="s">
        <v>105</v>
      </c>
      <c r="I12" s="31">
        <v>230</v>
      </c>
      <c r="J12" s="31"/>
      <c r="K12" s="97">
        <f>I12/8</f>
        <v>28.75</v>
      </c>
    </row>
  </sheetData>
  <mergeCells count="2">
    <mergeCell ref="H1:N1"/>
    <mergeCell ref="I2:J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4378-92F5-4A96-8290-98A1635C7B86}">
  <dimension ref="A1:A31"/>
  <sheetViews>
    <sheetView zoomScaleNormal="100" workbookViewId="0">
      <selection activeCell="A26" sqref="A26"/>
    </sheetView>
  </sheetViews>
  <sheetFormatPr defaultRowHeight="15" x14ac:dyDescent="0.25"/>
  <cols>
    <col min="1" max="1" width="71.42578125" style="39" customWidth="1"/>
  </cols>
  <sheetData>
    <row r="1" spans="1:1" x14ac:dyDescent="0.25">
      <c r="A1" s="38" t="s">
        <v>49</v>
      </c>
    </row>
    <row r="3" spans="1:1" x14ac:dyDescent="0.25">
      <c r="A3" s="38" t="s">
        <v>0</v>
      </c>
    </row>
    <row r="4" spans="1:1" ht="30" x14ac:dyDescent="0.25">
      <c r="A4" s="39" t="s">
        <v>97</v>
      </c>
    </row>
    <row r="6" spans="1:1" x14ac:dyDescent="0.25">
      <c r="A6" s="38" t="s">
        <v>1</v>
      </c>
    </row>
    <row r="7" spans="1:1" ht="30" x14ac:dyDescent="0.25">
      <c r="A7" s="39" t="s">
        <v>98</v>
      </c>
    </row>
    <row r="9" spans="1:1" x14ac:dyDescent="0.25">
      <c r="A9" s="38" t="s">
        <v>4</v>
      </c>
    </row>
    <row r="10" spans="1:1" ht="30" x14ac:dyDescent="0.25">
      <c r="A10" s="39" t="s">
        <v>87</v>
      </c>
    </row>
    <row r="12" spans="1:1" x14ac:dyDescent="0.25">
      <c r="A12" s="38" t="s">
        <v>78</v>
      </c>
    </row>
    <row r="13" spans="1:1" ht="30" x14ac:dyDescent="0.25">
      <c r="A13" s="39" t="s">
        <v>89</v>
      </c>
    </row>
    <row r="15" spans="1:1" x14ac:dyDescent="0.25">
      <c r="A15" s="38" t="s">
        <v>79</v>
      </c>
    </row>
    <row r="16" spans="1:1" ht="30" x14ac:dyDescent="0.25">
      <c r="A16" s="39" t="s">
        <v>90</v>
      </c>
    </row>
    <row r="18" spans="1:1" x14ac:dyDescent="0.25">
      <c r="A18" s="38" t="s">
        <v>80</v>
      </c>
    </row>
    <row r="19" spans="1:1" ht="30" x14ac:dyDescent="0.25">
      <c r="A19" s="39" t="s">
        <v>91</v>
      </c>
    </row>
    <row r="21" spans="1:1" x14ac:dyDescent="0.25">
      <c r="A21" s="38" t="s">
        <v>88</v>
      </c>
    </row>
    <row r="22" spans="1:1" ht="30" x14ac:dyDescent="0.25">
      <c r="A22" s="39" t="s">
        <v>99</v>
      </c>
    </row>
    <row r="24" spans="1:1" x14ac:dyDescent="0.25">
      <c r="A24" s="38" t="s">
        <v>100</v>
      </c>
    </row>
    <row r="25" spans="1:1" ht="30" x14ac:dyDescent="0.25">
      <c r="A25" s="39" t="s">
        <v>101</v>
      </c>
    </row>
    <row r="27" spans="1:1" x14ac:dyDescent="0.25">
      <c r="A27" s="38" t="s">
        <v>44</v>
      </c>
    </row>
    <row r="28" spans="1:1" x14ac:dyDescent="0.25">
      <c r="A28" s="39" t="s">
        <v>47</v>
      </c>
    </row>
    <row r="30" spans="1:1" x14ac:dyDescent="0.25">
      <c r="A30" s="38" t="s">
        <v>46</v>
      </c>
    </row>
    <row r="31" spans="1:1" ht="45" x14ac:dyDescent="0.25">
      <c r="A31" s="39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C34C-405D-412E-B11B-489F7E6CFFA4}">
  <dimension ref="A1:A3"/>
  <sheetViews>
    <sheetView workbookViewId="0">
      <selection activeCell="D13" sqref="D13"/>
    </sheetView>
  </sheetViews>
  <sheetFormatPr defaultRowHeight="15" x14ac:dyDescent="0.25"/>
  <cols>
    <col min="1" max="1" width="39.28515625" customWidth="1"/>
  </cols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2113-3AC8-47D7-AA0D-8E79D56B8434}">
  <dimension ref="A1:P22"/>
  <sheetViews>
    <sheetView workbookViewId="0">
      <selection activeCell="J27" sqref="J27"/>
    </sheetView>
  </sheetViews>
  <sheetFormatPr defaultRowHeight="15" x14ac:dyDescent="0.25"/>
  <cols>
    <col min="2" max="2" width="25.5703125" customWidth="1"/>
    <col min="3" max="4" width="10.140625" customWidth="1"/>
    <col min="5" max="5" width="27.140625" bestFit="1" customWidth="1"/>
    <col min="6" max="6" width="21.42578125" bestFit="1" customWidth="1"/>
    <col min="7" max="7" width="8.7109375" hidden="1" customWidth="1"/>
    <col min="8" max="8" width="11.28515625" bestFit="1" customWidth="1"/>
    <col min="9" max="9" width="2.7109375" customWidth="1"/>
    <col min="10" max="10" width="27.140625" bestFit="1" customWidth="1"/>
    <col min="11" max="11" width="21.42578125" bestFit="1" customWidth="1"/>
    <col min="12" max="12" width="11.28515625" bestFit="1" customWidth="1"/>
    <col min="13" max="13" width="2.7109375" customWidth="1"/>
    <col min="14" max="14" width="27.140625" bestFit="1" customWidth="1"/>
    <col min="15" max="15" width="21.42578125" bestFit="1" customWidth="1"/>
    <col min="16" max="16" width="12" bestFit="1" customWidth="1"/>
    <col min="17" max="17" width="21.42578125" bestFit="1" customWidth="1"/>
    <col min="18" max="18" width="14" bestFit="1" customWidth="1"/>
  </cols>
  <sheetData>
    <row r="1" spans="1:16" ht="26.25" x14ac:dyDescent="0.4">
      <c r="A1" s="74" t="s">
        <v>93</v>
      </c>
    </row>
    <row r="2" spans="1:16" ht="15.75" thickBot="1" x14ac:dyDescent="0.3"/>
    <row r="3" spans="1:16" ht="15.75" thickBot="1" x14ac:dyDescent="0.3">
      <c r="B3" s="33" t="s">
        <v>77</v>
      </c>
      <c r="C3" s="68"/>
      <c r="E3" s="72" t="s">
        <v>60</v>
      </c>
      <c r="F3" s="78">
        <f>H3/C4</f>
        <v>5</v>
      </c>
      <c r="G3" s="78"/>
      <c r="H3" s="79">
        <f>C4*C5</f>
        <v>40</v>
      </c>
      <c r="J3" s="72" t="s">
        <v>61</v>
      </c>
      <c r="K3" s="78">
        <f>L3/C4</f>
        <v>19.583333333333332</v>
      </c>
      <c r="L3" s="79">
        <f>P3/C8</f>
        <v>156.66666666666666</v>
      </c>
      <c r="N3" s="72" t="s">
        <v>62</v>
      </c>
      <c r="O3" s="78">
        <f>P3/C4</f>
        <v>235</v>
      </c>
      <c r="P3" s="79">
        <f>((C4*C5)*C6)-(C7*C4)</f>
        <v>1880</v>
      </c>
    </row>
    <row r="4" spans="1:16" x14ac:dyDescent="0.25">
      <c r="B4" s="67" t="s">
        <v>63</v>
      </c>
      <c r="C4" s="68">
        <v>8</v>
      </c>
    </row>
    <row r="5" spans="1:16" x14ac:dyDescent="0.25">
      <c r="B5" s="69" t="s">
        <v>64</v>
      </c>
      <c r="C5" s="70">
        <v>5</v>
      </c>
      <c r="E5" s="53" t="s">
        <v>94</v>
      </c>
      <c r="F5" s="53" t="s">
        <v>70</v>
      </c>
      <c r="G5" s="53"/>
      <c r="H5" s="80" t="s">
        <v>95</v>
      </c>
      <c r="J5" s="53" t="s">
        <v>94</v>
      </c>
      <c r="K5" s="53" t="s">
        <v>70</v>
      </c>
      <c r="L5" s="80" t="s">
        <v>95</v>
      </c>
      <c r="N5" s="53" t="s">
        <v>94</v>
      </c>
      <c r="O5" s="53" t="s">
        <v>70</v>
      </c>
      <c r="P5" s="80" t="s">
        <v>95</v>
      </c>
    </row>
    <row r="6" spans="1:16" x14ac:dyDescent="0.25">
      <c r="B6" s="69" t="s">
        <v>65</v>
      </c>
      <c r="C6" s="70">
        <v>52</v>
      </c>
      <c r="E6" s="14" t="s">
        <v>0</v>
      </c>
      <c r="F6" s="50">
        <f>ROUNDUP(H$3/$C9,0)</f>
        <v>1</v>
      </c>
      <c r="G6" s="85">
        <f>H$3/$C9</f>
        <v>0.25</v>
      </c>
      <c r="H6" s="19">
        <f>G6*C9</f>
        <v>40</v>
      </c>
      <c r="J6" s="56" t="s">
        <v>0</v>
      </c>
      <c r="K6" s="75">
        <f t="shared" ref="K6:K12" si="0">L$3/$C9</f>
        <v>0.97916666666666663</v>
      </c>
      <c r="L6" s="75">
        <f t="shared" ref="L6:L12" si="1">K6*C9</f>
        <v>156.66666666666666</v>
      </c>
      <c r="N6" s="56" t="s">
        <v>0</v>
      </c>
      <c r="O6" s="75">
        <f t="shared" ref="O6:O12" si="2">P$3/$C9</f>
        <v>11.75</v>
      </c>
      <c r="P6" s="75">
        <f t="shared" ref="P6:P12" si="3">O6*C9</f>
        <v>1880</v>
      </c>
    </row>
    <row r="7" spans="1:16" x14ac:dyDescent="0.25">
      <c r="B7" s="69" t="s">
        <v>66</v>
      </c>
      <c r="C7" s="70">
        <v>25</v>
      </c>
      <c r="E7" s="76" t="s">
        <v>1</v>
      </c>
      <c r="F7" s="77">
        <f t="shared" ref="F7:F12" si="4">H$3/$C10</f>
        <v>0.5</v>
      </c>
      <c r="G7" s="77"/>
      <c r="H7" s="76">
        <f t="shared" ref="H7:H12" si="5">F7*C10</f>
        <v>40</v>
      </c>
      <c r="J7" s="76" t="s">
        <v>1</v>
      </c>
      <c r="K7" s="77">
        <f t="shared" si="0"/>
        <v>1.9583333333333333</v>
      </c>
      <c r="L7" s="77">
        <f t="shared" si="1"/>
        <v>156.66666666666666</v>
      </c>
      <c r="N7" s="76" t="s">
        <v>1</v>
      </c>
      <c r="O7" s="77">
        <f t="shared" si="2"/>
        <v>23.5</v>
      </c>
      <c r="P7" s="77">
        <f t="shared" si="3"/>
        <v>1880</v>
      </c>
    </row>
    <row r="8" spans="1:16" x14ac:dyDescent="0.25">
      <c r="B8" s="69" t="s">
        <v>67</v>
      </c>
      <c r="C8" s="70">
        <v>12</v>
      </c>
      <c r="E8" s="56" t="s">
        <v>4</v>
      </c>
      <c r="F8" s="75">
        <f t="shared" si="4"/>
        <v>1</v>
      </c>
      <c r="G8" s="75"/>
      <c r="H8" s="56">
        <f t="shared" si="5"/>
        <v>40</v>
      </c>
      <c r="J8" s="56" t="s">
        <v>4</v>
      </c>
      <c r="K8" s="75">
        <f t="shared" si="0"/>
        <v>3.9166666666666665</v>
      </c>
      <c r="L8" s="75">
        <f t="shared" si="1"/>
        <v>156.66666666666666</v>
      </c>
      <c r="N8" s="56" t="s">
        <v>4</v>
      </c>
      <c r="O8" s="75">
        <f t="shared" si="2"/>
        <v>47</v>
      </c>
      <c r="P8" s="75">
        <f t="shared" si="3"/>
        <v>1880</v>
      </c>
    </row>
    <row r="9" spans="1:16" x14ac:dyDescent="0.25">
      <c r="B9" s="69" t="s">
        <v>81</v>
      </c>
      <c r="C9" s="70">
        <v>160</v>
      </c>
      <c r="E9" s="76" t="s">
        <v>78</v>
      </c>
      <c r="F9" s="77">
        <f t="shared" si="4"/>
        <v>1</v>
      </c>
      <c r="G9" s="77"/>
      <c r="H9" s="76">
        <f t="shared" si="5"/>
        <v>40</v>
      </c>
      <c r="J9" s="76" t="s">
        <v>78</v>
      </c>
      <c r="K9" s="77">
        <f t="shared" si="0"/>
        <v>3.9166666666666665</v>
      </c>
      <c r="L9" s="77">
        <f t="shared" si="1"/>
        <v>156.66666666666666</v>
      </c>
      <c r="N9" s="76" t="s">
        <v>78</v>
      </c>
      <c r="O9" s="77">
        <f t="shared" si="2"/>
        <v>47</v>
      </c>
      <c r="P9" s="77">
        <f t="shared" si="3"/>
        <v>1880</v>
      </c>
    </row>
    <row r="10" spans="1:16" x14ac:dyDescent="0.25">
      <c r="B10" s="69" t="s">
        <v>82</v>
      </c>
      <c r="C10" s="70">
        <v>80</v>
      </c>
      <c r="E10" s="56" t="s">
        <v>79</v>
      </c>
      <c r="F10" s="75">
        <f t="shared" si="4"/>
        <v>1.6666666666666667</v>
      </c>
      <c r="G10" s="75"/>
      <c r="H10" s="56">
        <f t="shared" si="5"/>
        <v>40</v>
      </c>
      <c r="J10" s="56" t="s">
        <v>79</v>
      </c>
      <c r="K10" s="75">
        <f t="shared" si="0"/>
        <v>6.5277777777777777</v>
      </c>
      <c r="L10" s="75">
        <f t="shared" si="1"/>
        <v>156.66666666666666</v>
      </c>
      <c r="N10" s="56" t="s">
        <v>79</v>
      </c>
      <c r="O10" s="75">
        <f t="shared" si="2"/>
        <v>78.333333333333329</v>
      </c>
      <c r="P10" s="75">
        <f t="shared" si="3"/>
        <v>1880</v>
      </c>
    </row>
    <row r="11" spans="1:16" x14ac:dyDescent="0.25">
      <c r="B11" s="69" t="s">
        <v>83</v>
      </c>
      <c r="C11" s="70">
        <v>40</v>
      </c>
      <c r="E11" s="76" t="s">
        <v>80</v>
      </c>
      <c r="F11" s="77">
        <f t="shared" si="4"/>
        <v>1.6666666666666667</v>
      </c>
      <c r="G11" s="77"/>
      <c r="H11" s="76">
        <f t="shared" si="5"/>
        <v>40</v>
      </c>
      <c r="J11" s="76" t="s">
        <v>80</v>
      </c>
      <c r="K11" s="77">
        <f t="shared" si="0"/>
        <v>6.5277777777777777</v>
      </c>
      <c r="L11" s="77">
        <f t="shared" si="1"/>
        <v>156.66666666666666</v>
      </c>
      <c r="N11" s="76" t="s">
        <v>80</v>
      </c>
      <c r="O11" s="77">
        <f t="shared" si="2"/>
        <v>78.333333333333329</v>
      </c>
      <c r="P11" s="77">
        <f t="shared" si="3"/>
        <v>1880</v>
      </c>
    </row>
    <row r="12" spans="1:16" x14ac:dyDescent="0.25">
      <c r="B12" s="69" t="s">
        <v>84</v>
      </c>
      <c r="C12" s="70">
        <v>40</v>
      </c>
      <c r="E12" s="25" t="s">
        <v>88</v>
      </c>
      <c r="F12" s="54">
        <f t="shared" si="4"/>
        <v>5</v>
      </c>
      <c r="G12" s="58"/>
      <c r="H12" s="26">
        <f t="shared" si="5"/>
        <v>40</v>
      </c>
      <c r="J12" s="56" t="s">
        <v>88</v>
      </c>
      <c r="K12" s="75">
        <f t="shared" si="0"/>
        <v>19.583333333333332</v>
      </c>
      <c r="L12" s="75">
        <f t="shared" si="1"/>
        <v>156.66666666666666</v>
      </c>
      <c r="N12" s="56" t="s">
        <v>88</v>
      </c>
      <c r="O12" s="75">
        <f t="shared" si="2"/>
        <v>235</v>
      </c>
      <c r="P12" s="75">
        <f t="shared" si="3"/>
        <v>1880</v>
      </c>
    </row>
    <row r="13" spans="1:16" x14ac:dyDescent="0.25">
      <c r="B13" s="69" t="s">
        <v>85</v>
      </c>
      <c r="C13" s="70">
        <v>24</v>
      </c>
    </row>
    <row r="14" spans="1:16" x14ac:dyDescent="0.25">
      <c r="B14" s="69" t="s">
        <v>86</v>
      </c>
      <c r="C14" s="70">
        <v>24</v>
      </c>
      <c r="E14" s="55" t="s">
        <v>71</v>
      </c>
      <c r="F14" s="53" t="s">
        <v>70</v>
      </c>
      <c r="G14" s="53"/>
      <c r="H14" s="80" t="s">
        <v>95</v>
      </c>
      <c r="J14" s="55" t="s">
        <v>71</v>
      </c>
      <c r="K14" s="53" t="s">
        <v>70</v>
      </c>
      <c r="L14" s="80" t="s">
        <v>95</v>
      </c>
      <c r="N14" s="55" t="s">
        <v>71</v>
      </c>
      <c r="O14" s="53" t="s">
        <v>70</v>
      </c>
      <c r="P14" s="80" t="s">
        <v>95</v>
      </c>
    </row>
    <row r="15" spans="1:16" ht="15.75" thickBot="1" x14ac:dyDescent="0.3">
      <c r="B15" s="71" t="s">
        <v>92</v>
      </c>
      <c r="C15" s="73">
        <v>8</v>
      </c>
      <c r="E15" s="14" t="s">
        <v>0</v>
      </c>
      <c r="F15" s="50">
        <v>0</v>
      </c>
      <c r="G15" s="19"/>
      <c r="H15" s="19">
        <f t="shared" ref="H15:H21" si="6">F15*$C9</f>
        <v>0</v>
      </c>
      <c r="I15" s="37"/>
      <c r="J15" s="14" t="s">
        <v>0</v>
      </c>
      <c r="K15" s="59">
        <v>0</v>
      </c>
      <c r="L15" s="50">
        <f t="shared" ref="L15:L21" si="7">K15*$C9</f>
        <v>0</v>
      </c>
      <c r="N15" s="14" t="s">
        <v>0</v>
      </c>
      <c r="O15" s="14">
        <v>1</v>
      </c>
      <c r="P15" s="50">
        <f t="shared" ref="P15:P21" si="8">O15*$C9</f>
        <v>160</v>
      </c>
    </row>
    <row r="16" spans="1:16" x14ac:dyDescent="0.25">
      <c r="E16" s="20" t="s">
        <v>1</v>
      </c>
      <c r="F16" s="51">
        <v>0</v>
      </c>
      <c r="G16" s="24"/>
      <c r="H16" s="24">
        <f t="shared" si="6"/>
        <v>0</v>
      </c>
      <c r="J16" s="20" t="s">
        <v>1</v>
      </c>
      <c r="K16" s="51">
        <v>0</v>
      </c>
      <c r="L16" s="51">
        <f t="shared" si="7"/>
        <v>0</v>
      </c>
      <c r="N16" s="20" t="s">
        <v>1</v>
      </c>
      <c r="O16" s="20">
        <v>1</v>
      </c>
      <c r="P16" s="51">
        <f t="shared" si="8"/>
        <v>80</v>
      </c>
    </row>
    <row r="17" spans="5:16" x14ac:dyDescent="0.25">
      <c r="E17" s="20" t="s">
        <v>4</v>
      </c>
      <c r="F17" s="51">
        <v>0</v>
      </c>
      <c r="G17" s="24"/>
      <c r="H17" s="24">
        <f t="shared" si="6"/>
        <v>0</v>
      </c>
      <c r="J17" s="20" t="s">
        <v>4</v>
      </c>
      <c r="K17" s="51">
        <v>0</v>
      </c>
      <c r="L17" s="51">
        <f t="shared" si="7"/>
        <v>0</v>
      </c>
      <c r="N17" s="20" t="s">
        <v>4</v>
      </c>
      <c r="O17" s="20">
        <v>2</v>
      </c>
      <c r="P17" s="51">
        <f t="shared" si="8"/>
        <v>80</v>
      </c>
    </row>
    <row r="18" spans="5:16" x14ac:dyDescent="0.25">
      <c r="E18" s="20" t="s">
        <v>78</v>
      </c>
      <c r="F18" s="51">
        <v>0</v>
      </c>
      <c r="G18" s="24"/>
      <c r="H18" s="24">
        <f t="shared" si="6"/>
        <v>0</v>
      </c>
      <c r="J18" s="20" t="s">
        <v>78</v>
      </c>
      <c r="K18" s="51">
        <v>0</v>
      </c>
      <c r="L18" s="51">
        <f t="shared" si="7"/>
        <v>0</v>
      </c>
      <c r="N18" s="20" t="s">
        <v>78</v>
      </c>
      <c r="O18" s="20">
        <v>4</v>
      </c>
      <c r="P18" s="51">
        <f t="shared" si="8"/>
        <v>160</v>
      </c>
    </row>
    <row r="19" spans="5:16" x14ac:dyDescent="0.25">
      <c r="E19" s="20" t="s">
        <v>79</v>
      </c>
      <c r="F19" s="51">
        <v>0</v>
      </c>
      <c r="G19" s="24"/>
      <c r="H19" s="24">
        <f t="shared" si="6"/>
        <v>0</v>
      </c>
      <c r="J19" s="20" t="s">
        <v>79</v>
      </c>
      <c r="K19" s="51">
        <v>2</v>
      </c>
      <c r="L19" s="51">
        <f t="shared" si="7"/>
        <v>48</v>
      </c>
      <c r="N19" s="20" t="s">
        <v>79</v>
      </c>
      <c r="O19" s="20">
        <v>14</v>
      </c>
      <c r="P19" s="51">
        <f t="shared" si="8"/>
        <v>336</v>
      </c>
    </row>
    <row r="20" spans="5:16" x14ac:dyDescent="0.25">
      <c r="E20" s="20" t="s">
        <v>80</v>
      </c>
      <c r="F20" s="51">
        <v>0</v>
      </c>
      <c r="G20" s="24"/>
      <c r="H20" s="24">
        <f t="shared" si="6"/>
        <v>0</v>
      </c>
      <c r="J20" s="20" t="s">
        <v>80</v>
      </c>
      <c r="K20" s="51">
        <v>2</v>
      </c>
      <c r="L20" s="51">
        <f t="shared" si="7"/>
        <v>48</v>
      </c>
      <c r="N20" s="20" t="s">
        <v>80</v>
      </c>
      <c r="O20" s="20">
        <v>14</v>
      </c>
      <c r="P20" s="51">
        <f t="shared" si="8"/>
        <v>336</v>
      </c>
    </row>
    <row r="21" spans="5:16" x14ac:dyDescent="0.25">
      <c r="E21" s="25" t="s">
        <v>88</v>
      </c>
      <c r="F21" s="52">
        <v>5</v>
      </c>
      <c r="G21" s="26"/>
      <c r="H21" s="26">
        <f t="shared" si="6"/>
        <v>40</v>
      </c>
      <c r="J21" s="25" t="s">
        <v>88</v>
      </c>
      <c r="K21" s="52">
        <v>8</v>
      </c>
      <c r="L21" s="52">
        <f t="shared" si="7"/>
        <v>64</v>
      </c>
      <c r="N21" s="25" t="s">
        <v>88</v>
      </c>
      <c r="O21" s="25">
        <v>91</v>
      </c>
      <c r="P21" s="52">
        <f t="shared" si="8"/>
        <v>728</v>
      </c>
    </row>
    <row r="22" spans="5:16" x14ac:dyDescent="0.25">
      <c r="H22" s="57">
        <f>SUM(H15:H21)</f>
        <v>40</v>
      </c>
      <c r="L22" s="57">
        <f>SUM(L15:L21)</f>
        <v>160</v>
      </c>
      <c r="P22" s="57">
        <f>SUM(P15:P21)</f>
        <v>1880</v>
      </c>
    </row>
  </sheetData>
  <phoneticPr fontId="4" type="noConversion"/>
  <conditionalFormatting sqref="H22">
    <cfRule type="expression" dxfId="17" priority="1">
      <formula>IF($H$22&gt;($H$3*1.05),TRUE,FALSE)</formula>
    </cfRule>
    <cfRule type="expression" dxfId="16" priority="4">
      <formula>IF($H$22&gt;=$H$3,TRUE,FALSE)</formula>
    </cfRule>
    <cfRule type="expression" dxfId="15" priority="7">
      <formula>IF($H$22&lt;$H$3,TRUE,FALSE)</formula>
    </cfRule>
  </conditionalFormatting>
  <conditionalFormatting sqref="L22">
    <cfRule type="expression" dxfId="14" priority="2">
      <formula>IF($L$22&gt;($L$3*1.05),TRUE,FALSE)</formula>
    </cfRule>
    <cfRule type="expression" dxfId="13" priority="5">
      <formula>IF($L$22&gt;=$L$3,TRUE,FALSE)</formula>
    </cfRule>
    <cfRule type="expression" dxfId="12" priority="8">
      <formula>IF($L$22&lt;$L$3,TRUE,FALSE)</formula>
    </cfRule>
  </conditionalFormatting>
  <conditionalFormatting sqref="P22">
    <cfRule type="expression" dxfId="11" priority="3">
      <formula>IF($P$22&gt;($P$3*1.05),TRUE,FALSE)</formula>
    </cfRule>
    <cfRule type="expression" dxfId="10" priority="6">
      <formula>IF($P$22&gt;=$P$3,TRUE,FALSE)</formula>
    </cfRule>
    <cfRule type="expression" dxfId="9" priority="9">
      <formula>IF($P$22&lt;$P$3,TRUE,FALSE)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83D2-161B-41AE-A399-1F4790169210}">
  <dimension ref="A1:E18"/>
  <sheetViews>
    <sheetView topLeftCell="A2" workbookViewId="0">
      <selection activeCell="B18" sqref="B18"/>
    </sheetView>
  </sheetViews>
  <sheetFormatPr defaultRowHeight="15" x14ac:dyDescent="0.25"/>
  <cols>
    <col min="2" max="2" width="63.42578125" customWidth="1"/>
    <col min="3" max="4" width="18.85546875" style="43" customWidth="1"/>
    <col min="5" max="5" width="18.85546875" customWidth="1"/>
  </cols>
  <sheetData>
    <row r="1" spans="1:5" hidden="1" x14ac:dyDescent="0.25">
      <c r="C1" s="44"/>
      <c r="D1" s="44">
        <v>12</v>
      </c>
    </row>
    <row r="2" spans="1:5" ht="26.25" x14ac:dyDescent="0.4">
      <c r="A2" s="74" t="s">
        <v>96</v>
      </c>
      <c r="B2" s="84"/>
      <c r="C2" s="44"/>
      <c r="D2" s="44"/>
    </row>
    <row r="3" spans="1:5" x14ac:dyDescent="0.25">
      <c r="B3" s="2"/>
      <c r="C3" s="46" t="s">
        <v>52</v>
      </c>
      <c r="D3" s="46" t="s">
        <v>53</v>
      </c>
      <c r="E3" s="42" t="s">
        <v>68</v>
      </c>
    </row>
    <row r="4" spans="1:5" x14ac:dyDescent="0.25">
      <c r="B4" s="40" t="s">
        <v>12</v>
      </c>
      <c r="C4" s="47"/>
      <c r="D4" s="47">
        <v>50</v>
      </c>
      <c r="E4" s="40">
        <v>49</v>
      </c>
    </row>
    <row r="5" spans="1:5" x14ac:dyDescent="0.25">
      <c r="B5" s="40" t="s">
        <v>13</v>
      </c>
      <c r="C5" s="47">
        <v>8</v>
      </c>
      <c r="D5" s="47">
        <f t="shared" ref="D5:D12" si="0">C5*$D$1</f>
        <v>96</v>
      </c>
      <c r="E5" s="40">
        <f>(7*12)</f>
        <v>84</v>
      </c>
    </row>
    <row r="6" spans="1:5" x14ac:dyDescent="0.25">
      <c r="B6" s="40" t="s">
        <v>14</v>
      </c>
      <c r="C6" s="47">
        <v>15</v>
      </c>
      <c r="D6" s="47">
        <f t="shared" si="0"/>
        <v>180</v>
      </c>
      <c r="E6" s="40">
        <v>180</v>
      </c>
    </row>
    <row r="7" spans="1:5" x14ac:dyDescent="0.25">
      <c r="B7" s="40" t="s">
        <v>15</v>
      </c>
      <c r="C7" s="47">
        <v>10</v>
      </c>
      <c r="D7" s="47">
        <f t="shared" si="0"/>
        <v>120</v>
      </c>
      <c r="E7" s="40">
        <v>120</v>
      </c>
    </row>
    <row r="8" spans="1:5" x14ac:dyDescent="0.25">
      <c r="B8" s="40" t="s">
        <v>54</v>
      </c>
      <c r="C8" s="47">
        <v>10</v>
      </c>
      <c r="D8" s="47">
        <f t="shared" si="0"/>
        <v>120</v>
      </c>
      <c r="E8" s="40">
        <v>120</v>
      </c>
    </row>
    <row r="9" spans="1:5" x14ac:dyDescent="0.25">
      <c r="B9" s="40" t="s">
        <v>55</v>
      </c>
      <c r="C9" s="47"/>
      <c r="D9" s="47">
        <f t="shared" si="0"/>
        <v>0</v>
      </c>
      <c r="E9" s="40"/>
    </row>
    <row r="10" spans="1:5" x14ac:dyDescent="0.25">
      <c r="B10" s="40" t="s">
        <v>56</v>
      </c>
      <c r="C10" s="47"/>
      <c r="D10" s="47">
        <f t="shared" si="0"/>
        <v>0</v>
      </c>
      <c r="E10" s="40"/>
    </row>
    <row r="11" spans="1:5" x14ac:dyDescent="0.25">
      <c r="B11" s="40" t="s">
        <v>57</v>
      </c>
      <c r="C11" s="47">
        <v>6</v>
      </c>
      <c r="D11" s="47">
        <f t="shared" si="0"/>
        <v>72</v>
      </c>
      <c r="E11" s="40">
        <v>72</v>
      </c>
    </row>
    <row r="12" spans="1:5" x14ac:dyDescent="0.25">
      <c r="B12" s="40" t="s">
        <v>22</v>
      </c>
      <c r="C12" s="47"/>
      <c r="D12" s="47">
        <f t="shared" si="0"/>
        <v>0</v>
      </c>
      <c r="E12" s="40"/>
    </row>
    <row r="13" spans="1:5" x14ac:dyDescent="0.25">
      <c r="B13" s="17"/>
      <c r="C13" s="83"/>
      <c r="D13" s="81">
        <f>SUBTOTAL(9,D4:D12)</f>
        <v>638</v>
      </c>
      <c r="E13" s="82">
        <f>SUBTOTAL(9,E4:E12)</f>
        <v>625</v>
      </c>
    </row>
    <row r="15" spans="1:5" x14ac:dyDescent="0.25">
      <c r="D15" s="47" t="s">
        <v>58</v>
      </c>
      <c r="E15" s="41">
        <f>D13</f>
        <v>638</v>
      </c>
    </row>
    <row r="16" spans="1:5" x14ac:dyDescent="0.25">
      <c r="D16" s="47" t="s">
        <v>69</v>
      </c>
      <c r="E16" s="45">
        <f>-1*E13</f>
        <v>-625</v>
      </c>
    </row>
    <row r="17" spans="4:5" x14ac:dyDescent="0.25">
      <c r="D17" s="47"/>
    </row>
    <row r="18" spans="4:5" x14ac:dyDescent="0.25">
      <c r="D18" s="48" t="s">
        <v>59</v>
      </c>
      <c r="E18" s="49">
        <f>E15-E13</f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97AFC-B5DE-4C51-B01B-2F23F26153FC}">
  <dimension ref="A1:AF32"/>
  <sheetViews>
    <sheetView workbookViewId="0">
      <selection activeCell="I23" sqref="I23"/>
    </sheetView>
  </sheetViews>
  <sheetFormatPr defaultRowHeight="15" x14ac:dyDescent="0.25"/>
  <cols>
    <col min="1" max="2" width="1.42578125" customWidth="1"/>
    <col min="3" max="3" width="27.140625" bestFit="1" customWidth="1"/>
    <col min="4" max="4" width="21.42578125" bestFit="1" customWidth="1"/>
    <col min="5" max="5" width="8.7109375" hidden="1" customWidth="1"/>
    <col min="6" max="6" width="9.28515625" customWidth="1"/>
    <col min="7" max="7" width="11.7109375" customWidth="1"/>
    <col min="8" max="9" width="7.28515625" customWidth="1"/>
    <col min="10" max="12" width="1.42578125" customWidth="1"/>
    <col min="13" max="13" width="27.140625" bestFit="1" customWidth="1"/>
    <col min="14" max="14" width="21.42578125" bestFit="1" customWidth="1"/>
    <col min="15" max="15" width="9.28515625" customWidth="1"/>
    <col min="16" max="16" width="11.7109375" customWidth="1"/>
    <col min="17" max="18" width="7.28515625" customWidth="1"/>
    <col min="19" max="21" width="1.42578125" customWidth="1"/>
    <col min="22" max="22" width="27.140625" bestFit="1" customWidth="1"/>
    <col min="23" max="23" width="21.42578125" bestFit="1" customWidth="1"/>
    <col min="24" max="24" width="9.28515625" customWidth="1"/>
    <col min="25" max="25" width="11.7109375" customWidth="1"/>
    <col min="26" max="27" width="7.28515625" customWidth="1"/>
    <col min="28" max="28" width="1.42578125" customWidth="1"/>
    <col min="29" max="29" width="3.28515625" customWidth="1"/>
    <col min="30" max="30" width="20.140625" bestFit="1" customWidth="1"/>
  </cols>
  <sheetData>
    <row r="1" spans="1:32" ht="36" customHeight="1" x14ac:dyDescent="0.4">
      <c r="C1" s="74" t="s">
        <v>93</v>
      </c>
    </row>
    <row r="2" spans="1:32" ht="18.75" customHeight="1" thickBot="1" x14ac:dyDescent="0.45">
      <c r="C2" s="74"/>
    </row>
    <row r="3" spans="1:32" ht="6.75" customHeight="1" x14ac:dyDescent="0.25">
      <c r="B3" s="67"/>
      <c r="C3" s="91"/>
      <c r="D3" s="91"/>
      <c r="E3" s="91"/>
      <c r="F3" s="91"/>
      <c r="G3" s="91"/>
      <c r="H3" s="91"/>
      <c r="I3" s="91"/>
      <c r="J3" s="68"/>
      <c r="L3" s="67"/>
      <c r="M3" s="91"/>
      <c r="N3" s="91"/>
      <c r="O3" s="91"/>
      <c r="P3" s="91"/>
      <c r="Q3" s="91"/>
      <c r="R3" s="91"/>
      <c r="S3" s="68"/>
      <c r="U3" s="67"/>
      <c r="V3" s="91"/>
      <c r="W3" s="91"/>
      <c r="X3" s="91"/>
      <c r="Y3" s="91"/>
      <c r="Z3" s="91"/>
      <c r="AA3" s="91"/>
      <c r="AB3" s="68"/>
    </row>
    <row r="4" spans="1:32" ht="26.25" x14ac:dyDescent="0.25">
      <c r="A4" s="110"/>
      <c r="B4" s="69"/>
      <c r="C4" s="116" t="s">
        <v>60</v>
      </c>
      <c r="D4" s="116"/>
      <c r="E4" s="116"/>
      <c r="F4" s="116"/>
      <c r="G4" s="116"/>
      <c r="H4" s="116"/>
      <c r="I4" s="116"/>
      <c r="J4" s="70"/>
      <c r="K4" s="110"/>
      <c r="L4" s="69"/>
      <c r="M4" s="116" t="s">
        <v>61</v>
      </c>
      <c r="N4" s="116"/>
      <c r="O4" s="116"/>
      <c r="P4" s="116"/>
      <c r="Q4" s="116"/>
      <c r="R4" s="116"/>
      <c r="S4" s="70"/>
      <c r="T4" s="110"/>
      <c r="U4" s="69"/>
      <c r="V4" s="116" t="s">
        <v>62</v>
      </c>
      <c r="W4" s="116"/>
      <c r="X4" s="116"/>
      <c r="Y4" s="116"/>
      <c r="Z4" s="116"/>
      <c r="AA4" s="116"/>
      <c r="AB4" s="70"/>
      <c r="AD4" s="98" t="s">
        <v>77</v>
      </c>
      <c r="AE4" s="110"/>
      <c r="AF4" s="110"/>
    </row>
    <row r="5" spans="1:32" x14ac:dyDescent="0.25">
      <c r="A5" s="110"/>
      <c r="B5" s="69"/>
      <c r="C5" s="108">
        <f>C6/AE5</f>
        <v>5</v>
      </c>
      <c r="D5" s="110"/>
      <c r="E5" s="110"/>
      <c r="F5" s="110"/>
      <c r="G5" s="110"/>
      <c r="H5" s="110"/>
      <c r="I5" s="110"/>
      <c r="J5" s="70"/>
      <c r="K5" s="110"/>
      <c r="L5" s="69"/>
      <c r="M5" s="108">
        <f>M6/AE5</f>
        <v>19.583333333333332</v>
      </c>
      <c r="N5" s="110"/>
      <c r="O5" s="110"/>
      <c r="P5" s="110"/>
      <c r="Q5" s="110"/>
      <c r="R5" s="110"/>
      <c r="S5" s="70"/>
      <c r="T5" s="110"/>
      <c r="U5" s="69"/>
      <c r="V5" s="108">
        <f>V6/AE5</f>
        <v>235</v>
      </c>
      <c r="W5" s="110"/>
      <c r="X5" s="110"/>
      <c r="Y5" s="110"/>
      <c r="Z5" s="110"/>
      <c r="AA5" s="110"/>
      <c r="AB5" s="70"/>
      <c r="AD5" s="110" t="s">
        <v>63</v>
      </c>
      <c r="AE5" s="110">
        <v>8</v>
      </c>
      <c r="AF5" s="110"/>
    </row>
    <row r="6" spans="1:32" x14ac:dyDescent="0.25">
      <c r="A6" s="110"/>
      <c r="B6" s="69"/>
      <c r="C6" s="109">
        <f>AE5*AE6</f>
        <v>40</v>
      </c>
      <c r="D6" s="110"/>
      <c r="E6" s="110"/>
      <c r="F6" s="110"/>
      <c r="G6" s="110"/>
      <c r="H6" s="110"/>
      <c r="I6" s="110"/>
      <c r="J6" s="70"/>
      <c r="K6" s="110"/>
      <c r="L6" s="69"/>
      <c r="M6" s="109">
        <f>V6/AE9</f>
        <v>156.66666666666666</v>
      </c>
      <c r="N6" s="110"/>
      <c r="O6" s="110"/>
      <c r="P6" s="110"/>
      <c r="Q6" s="110"/>
      <c r="R6" s="110"/>
      <c r="S6" s="70"/>
      <c r="T6" s="110"/>
      <c r="U6" s="69"/>
      <c r="V6" s="109">
        <f>((AE5*AE6)*AE7)-(AE8*AE5)</f>
        <v>1880</v>
      </c>
      <c r="W6" s="110"/>
      <c r="X6" s="110"/>
      <c r="Y6" s="110"/>
      <c r="Z6" s="110"/>
      <c r="AA6" s="110"/>
      <c r="AB6" s="70"/>
      <c r="AD6" s="110" t="s">
        <v>64</v>
      </c>
      <c r="AE6" s="110">
        <v>5</v>
      </c>
      <c r="AF6" s="110"/>
    </row>
    <row r="7" spans="1:32" x14ac:dyDescent="0.25">
      <c r="A7" s="110"/>
      <c r="B7" s="69"/>
      <c r="C7" s="110"/>
      <c r="D7" s="110"/>
      <c r="E7" s="110"/>
      <c r="F7" s="110"/>
      <c r="G7" s="110"/>
      <c r="H7" s="110"/>
      <c r="I7" s="110"/>
      <c r="J7" s="70"/>
      <c r="L7" s="69"/>
      <c r="M7" s="110"/>
      <c r="N7" s="110"/>
      <c r="O7" s="110"/>
      <c r="P7" s="110"/>
      <c r="Q7" s="110"/>
      <c r="R7" s="110"/>
      <c r="S7" s="70"/>
      <c r="U7" s="69"/>
      <c r="V7" s="110"/>
      <c r="W7" s="110"/>
      <c r="X7" s="110"/>
      <c r="Y7" s="110"/>
      <c r="Z7" s="110"/>
      <c r="AA7" s="110"/>
      <c r="AB7" s="70"/>
      <c r="AD7" s="110" t="s">
        <v>65</v>
      </c>
      <c r="AE7" s="110">
        <v>52</v>
      </c>
      <c r="AF7" s="110"/>
    </row>
    <row r="8" spans="1:32" x14ac:dyDescent="0.25">
      <c r="A8" s="110"/>
      <c r="B8" s="69"/>
      <c r="C8" s="110"/>
      <c r="D8" s="110"/>
      <c r="E8" s="110"/>
      <c r="F8" s="110"/>
      <c r="G8" s="110"/>
      <c r="H8" s="110"/>
      <c r="I8" s="110"/>
      <c r="J8" s="70"/>
      <c r="L8" s="69"/>
      <c r="M8" s="110"/>
      <c r="N8" s="110"/>
      <c r="O8" s="110"/>
      <c r="P8" s="110"/>
      <c r="Q8" s="110"/>
      <c r="R8" s="110"/>
      <c r="S8" s="70"/>
      <c r="U8" s="69"/>
      <c r="V8" s="110"/>
      <c r="W8" s="110"/>
      <c r="X8" s="110"/>
      <c r="Y8" s="110"/>
      <c r="Z8" s="110"/>
      <c r="AA8" s="110"/>
      <c r="AB8" s="70"/>
      <c r="AD8" s="110" t="s">
        <v>66</v>
      </c>
      <c r="AE8" s="110">
        <v>25</v>
      </c>
      <c r="AF8" s="110"/>
    </row>
    <row r="9" spans="1:32" x14ac:dyDescent="0.25">
      <c r="A9" s="110"/>
      <c r="B9" s="69"/>
      <c r="C9" s="53" t="s">
        <v>94</v>
      </c>
      <c r="D9" s="53" t="s">
        <v>70</v>
      </c>
      <c r="E9" s="53"/>
      <c r="F9" s="102" t="s">
        <v>95</v>
      </c>
      <c r="G9" s="103" t="s">
        <v>109</v>
      </c>
      <c r="H9" s="55" t="s">
        <v>106</v>
      </c>
      <c r="I9" s="55" t="s">
        <v>16</v>
      </c>
      <c r="J9" s="112"/>
      <c r="K9" s="98"/>
      <c r="L9" s="69"/>
      <c r="M9" s="53" t="s">
        <v>94</v>
      </c>
      <c r="N9" s="53" t="s">
        <v>70</v>
      </c>
      <c r="O9" s="80" t="s">
        <v>95</v>
      </c>
      <c r="P9" s="103" t="s">
        <v>109</v>
      </c>
      <c r="Q9" s="55" t="s">
        <v>106</v>
      </c>
      <c r="R9" s="55" t="s">
        <v>16</v>
      </c>
      <c r="S9" s="112"/>
      <c r="T9" s="98"/>
      <c r="U9" s="69"/>
      <c r="V9" s="53" t="s">
        <v>94</v>
      </c>
      <c r="W9" s="53" t="s">
        <v>70</v>
      </c>
      <c r="X9" s="80" t="s">
        <v>95</v>
      </c>
      <c r="Y9" s="103" t="s">
        <v>109</v>
      </c>
      <c r="Z9" s="55" t="s">
        <v>106</v>
      </c>
      <c r="AA9" s="55" t="s">
        <v>16</v>
      </c>
      <c r="AB9" s="70"/>
      <c r="AD9" s="110" t="s">
        <v>67</v>
      </c>
      <c r="AE9" s="110">
        <v>12</v>
      </c>
      <c r="AF9" s="110"/>
    </row>
    <row r="10" spans="1:32" x14ac:dyDescent="0.25">
      <c r="A10" s="99"/>
      <c r="B10" s="69"/>
      <c r="C10" s="14" t="s">
        <v>0</v>
      </c>
      <c r="D10" s="50">
        <f>ROUNDUP(C$6/$AE10,0)</f>
        <v>1</v>
      </c>
      <c r="E10" s="85">
        <f>C$6/$AE10</f>
        <v>0.25</v>
      </c>
      <c r="F10" s="19">
        <f>E10*AE10</f>
        <v>40</v>
      </c>
      <c r="G10" s="100">
        <f>AF10/4</f>
        <v>900</v>
      </c>
      <c r="H10" s="87" t="s">
        <v>107</v>
      </c>
      <c r="I10" s="87" t="s">
        <v>108</v>
      </c>
      <c r="J10" s="92"/>
      <c r="K10" s="99"/>
      <c r="L10" s="69"/>
      <c r="M10" s="56" t="s">
        <v>0</v>
      </c>
      <c r="N10" s="75">
        <f>M$6/$AE10</f>
        <v>0.97916666666666663</v>
      </c>
      <c r="O10" s="75">
        <f>N10*AE10</f>
        <v>156.66666666666666</v>
      </c>
      <c r="P10" s="106">
        <f>AF10</f>
        <v>3600</v>
      </c>
      <c r="Q10" s="87" t="s">
        <v>107</v>
      </c>
      <c r="R10" s="87" t="s">
        <v>108</v>
      </c>
      <c r="S10" s="92"/>
      <c r="T10" s="99"/>
      <c r="U10" s="69"/>
      <c r="V10" s="56" t="s">
        <v>0</v>
      </c>
      <c r="W10" s="75">
        <f>V$6/$AE10</f>
        <v>11.75</v>
      </c>
      <c r="X10" s="75">
        <f>W10*AE10</f>
        <v>1880</v>
      </c>
      <c r="Y10" s="107">
        <f>(X10/AE10)*AF10</f>
        <v>42300</v>
      </c>
      <c r="Z10" s="87" t="s">
        <v>107</v>
      </c>
      <c r="AA10" s="87" t="s">
        <v>108</v>
      </c>
      <c r="AB10" s="70"/>
      <c r="AD10" s="110" t="s">
        <v>81</v>
      </c>
      <c r="AE10" s="110">
        <v>160</v>
      </c>
      <c r="AF10" s="99">
        <v>3600</v>
      </c>
    </row>
    <row r="11" spans="1:32" x14ac:dyDescent="0.25">
      <c r="A11" s="99"/>
      <c r="B11" s="69"/>
      <c r="C11" s="76" t="s">
        <v>1</v>
      </c>
      <c r="D11" s="77">
        <f>C$6/$AE11</f>
        <v>0.5</v>
      </c>
      <c r="E11" s="77"/>
      <c r="F11" s="76">
        <f>D11*AE11</f>
        <v>40</v>
      </c>
      <c r="G11" s="105"/>
      <c r="H11" s="76"/>
      <c r="I11" s="76"/>
      <c r="J11" s="113"/>
      <c r="K11" s="114"/>
      <c r="L11" s="69"/>
      <c r="M11" s="76" t="s">
        <v>1</v>
      </c>
      <c r="N11" s="77">
        <f>M$6/$AE11</f>
        <v>1.9583333333333333</v>
      </c>
      <c r="O11" s="77">
        <f>N11*AE11</f>
        <v>156.66666666666666</v>
      </c>
      <c r="P11" s="76"/>
      <c r="Q11" s="76"/>
      <c r="R11" s="76"/>
      <c r="S11" s="113"/>
      <c r="T11" s="114"/>
      <c r="U11" s="69"/>
      <c r="V11" s="76" t="s">
        <v>1</v>
      </c>
      <c r="W11" s="77">
        <f>V$6/$AE11</f>
        <v>23.5</v>
      </c>
      <c r="X11" s="77">
        <f>W11*AE11</f>
        <v>1880</v>
      </c>
      <c r="Y11" s="76"/>
      <c r="Z11" s="76"/>
      <c r="AA11" s="76"/>
      <c r="AB11" s="70"/>
      <c r="AD11" s="110" t="s">
        <v>82</v>
      </c>
      <c r="AE11" s="110">
        <v>80</v>
      </c>
      <c r="AF11" s="99">
        <v>2500</v>
      </c>
    </row>
    <row r="12" spans="1:32" x14ac:dyDescent="0.25">
      <c r="A12" s="99"/>
      <c r="B12" s="69"/>
      <c r="C12" s="56" t="s">
        <v>4</v>
      </c>
      <c r="D12" s="75">
        <f>C$6/$AE12</f>
        <v>1</v>
      </c>
      <c r="E12" s="75"/>
      <c r="F12" s="56">
        <f>D12*AE12</f>
        <v>40</v>
      </c>
      <c r="G12" s="104"/>
      <c r="H12" s="56"/>
      <c r="I12" s="56"/>
      <c r="J12" s="113"/>
      <c r="K12" s="114"/>
      <c r="L12" s="69"/>
      <c r="M12" s="56" t="s">
        <v>4</v>
      </c>
      <c r="N12" s="75">
        <f>M$6/$AE12</f>
        <v>3.9166666666666665</v>
      </c>
      <c r="O12" s="75">
        <f>N12*AE12</f>
        <v>156.66666666666666</v>
      </c>
      <c r="P12" s="56"/>
      <c r="Q12" s="56"/>
      <c r="R12" s="56"/>
      <c r="S12" s="113"/>
      <c r="T12" s="114"/>
      <c r="U12" s="69"/>
      <c r="V12" s="56" t="s">
        <v>4</v>
      </c>
      <c r="W12" s="75">
        <f>V$6/$AE12</f>
        <v>47</v>
      </c>
      <c r="X12" s="75">
        <f>W12*AE12</f>
        <v>1880</v>
      </c>
      <c r="Y12" s="56"/>
      <c r="Z12" s="56"/>
      <c r="AA12" s="56"/>
      <c r="AB12" s="70"/>
      <c r="AD12" s="110" t="s">
        <v>83</v>
      </c>
      <c r="AE12" s="110">
        <v>40</v>
      </c>
      <c r="AF12" s="99">
        <v>1300</v>
      </c>
    </row>
    <row r="13" spans="1:32" x14ac:dyDescent="0.25">
      <c r="A13" s="99"/>
      <c r="B13" s="69"/>
      <c r="C13" s="76" t="s">
        <v>78</v>
      </c>
      <c r="D13" s="77">
        <f>C$6/$AE13</f>
        <v>1</v>
      </c>
      <c r="E13" s="77"/>
      <c r="F13" s="76">
        <f>D13*AE13</f>
        <v>40</v>
      </c>
      <c r="G13" s="105"/>
      <c r="H13" s="76"/>
      <c r="I13" s="76"/>
      <c r="J13" s="113"/>
      <c r="K13" s="114"/>
      <c r="L13" s="69"/>
      <c r="M13" s="76" t="s">
        <v>78</v>
      </c>
      <c r="N13" s="77">
        <f>M$6/$AE13</f>
        <v>3.9166666666666665</v>
      </c>
      <c r="O13" s="77">
        <f>N13*AE13</f>
        <v>156.66666666666666</v>
      </c>
      <c r="P13" s="76"/>
      <c r="Q13" s="76"/>
      <c r="R13" s="76"/>
      <c r="S13" s="113"/>
      <c r="T13" s="114"/>
      <c r="U13" s="69"/>
      <c r="V13" s="76" t="s">
        <v>78</v>
      </c>
      <c r="W13" s="77">
        <f>V$6/$AE13</f>
        <v>47</v>
      </c>
      <c r="X13" s="77">
        <f>W13*AE13</f>
        <v>1880</v>
      </c>
      <c r="Y13" s="76"/>
      <c r="Z13" s="76"/>
      <c r="AA13" s="76"/>
      <c r="AB13" s="70"/>
      <c r="AD13" s="110" t="s">
        <v>84</v>
      </c>
      <c r="AE13" s="110">
        <v>40</v>
      </c>
      <c r="AF13" s="99">
        <f>300*(40/8)</f>
        <v>1500</v>
      </c>
    </row>
    <row r="14" spans="1:32" x14ac:dyDescent="0.25">
      <c r="A14" s="99"/>
      <c r="B14" s="69"/>
      <c r="C14" s="56" t="s">
        <v>79</v>
      </c>
      <c r="D14" s="75">
        <f>C$6/$AE14</f>
        <v>1.6666666666666667</v>
      </c>
      <c r="E14" s="75"/>
      <c r="F14" s="56">
        <f>D14*AE14</f>
        <v>40</v>
      </c>
      <c r="G14" s="104"/>
      <c r="H14" s="56"/>
      <c r="I14" s="56"/>
      <c r="J14" s="113"/>
      <c r="K14" s="114"/>
      <c r="L14" s="69"/>
      <c r="M14" s="56" t="s">
        <v>79</v>
      </c>
      <c r="N14" s="75">
        <f>M$6/$AE14</f>
        <v>6.5277777777777777</v>
      </c>
      <c r="O14" s="75">
        <f>N14*AE14</f>
        <v>156.66666666666666</v>
      </c>
      <c r="P14" s="56"/>
      <c r="Q14" s="56"/>
      <c r="R14" s="56"/>
      <c r="S14" s="113"/>
      <c r="T14" s="114"/>
      <c r="U14" s="69"/>
      <c r="V14" s="56" t="s">
        <v>79</v>
      </c>
      <c r="W14" s="75">
        <f>V$6/$AE14</f>
        <v>78.333333333333329</v>
      </c>
      <c r="X14" s="75">
        <f>W14*AE14</f>
        <v>1880</v>
      </c>
      <c r="Y14" s="56"/>
      <c r="Z14" s="56"/>
      <c r="AA14" s="56"/>
      <c r="AB14" s="70"/>
      <c r="AD14" s="110" t="s">
        <v>85</v>
      </c>
      <c r="AE14" s="110">
        <v>24</v>
      </c>
      <c r="AF14" s="99">
        <f>300*(24/8)</f>
        <v>900</v>
      </c>
    </row>
    <row r="15" spans="1:32" x14ac:dyDescent="0.25">
      <c r="A15" s="99"/>
      <c r="B15" s="69"/>
      <c r="C15" s="76" t="s">
        <v>80</v>
      </c>
      <c r="D15" s="77">
        <f>C$6/$AE15</f>
        <v>1.6666666666666667</v>
      </c>
      <c r="E15" s="77"/>
      <c r="F15" s="76">
        <f>D15*AE15</f>
        <v>40</v>
      </c>
      <c r="G15" s="105"/>
      <c r="H15" s="76"/>
      <c r="I15" s="76"/>
      <c r="J15" s="113"/>
      <c r="K15" s="114"/>
      <c r="L15" s="69"/>
      <c r="M15" s="76" t="s">
        <v>80</v>
      </c>
      <c r="N15" s="77">
        <f>M$6/$AE15</f>
        <v>6.5277777777777777</v>
      </c>
      <c r="O15" s="77">
        <f>N15*AE15</f>
        <v>156.66666666666666</v>
      </c>
      <c r="P15" s="76"/>
      <c r="Q15" s="76"/>
      <c r="R15" s="76"/>
      <c r="S15" s="113"/>
      <c r="T15" s="114"/>
      <c r="U15" s="69"/>
      <c r="V15" s="76" t="s">
        <v>80</v>
      </c>
      <c r="W15" s="77">
        <f>V$6/$AE15</f>
        <v>78.333333333333329</v>
      </c>
      <c r="X15" s="77">
        <f>W15*AE15</f>
        <v>1880</v>
      </c>
      <c r="Y15" s="76"/>
      <c r="Z15" s="76"/>
      <c r="AA15" s="76"/>
      <c r="AB15" s="70"/>
      <c r="AD15" s="110" t="s">
        <v>86</v>
      </c>
      <c r="AE15" s="110">
        <v>24</v>
      </c>
      <c r="AF15" s="99">
        <f>140*(24/3)</f>
        <v>1120</v>
      </c>
    </row>
    <row r="16" spans="1:32" x14ac:dyDescent="0.25">
      <c r="A16" s="99"/>
      <c r="B16" s="69"/>
      <c r="C16" s="25" t="s">
        <v>88</v>
      </c>
      <c r="D16" s="54">
        <f>C$6/$AE16</f>
        <v>5</v>
      </c>
      <c r="E16" s="58"/>
      <c r="F16" s="26">
        <f>D16*AE16</f>
        <v>40</v>
      </c>
      <c r="G16" s="101">
        <f>F16*AF17</f>
        <v>2360</v>
      </c>
      <c r="H16" s="88" t="s">
        <v>108</v>
      </c>
      <c r="I16" s="88" t="s">
        <v>107</v>
      </c>
      <c r="J16" s="92"/>
      <c r="K16" s="99"/>
      <c r="L16" s="69"/>
      <c r="M16" s="56" t="s">
        <v>88</v>
      </c>
      <c r="N16" s="75">
        <f>M$6/$AE16</f>
        <v>19.583333333333332</v>
      </c>
      <c r="O16" s="75">
        <f>N16*AE16</f>
        <v>156.66666666666666</v>
      </c>
      <c r="P16" s="106">
        <f>O16*AF17</f>
        <v>9243.3333333333321</v>
      </c>
      <c r="Q16" s="88" t="s">
        <v>108</v>
      </c>
      <c r="R16" s="88" t="s">
        <v>107</v>
      </c>
      <c r="S16" s="92"/>
      <c r="T16" s="99"/>
      <c r="U16" s="69"/>
      <c r="V16" s="56" t="s">
        <v>88</v>
      </c>
      <c r="W16" s="75">
        <f>V$6/$AE16</f>
        <v>235</v>
      </c>
      <c r="X16" s="75">
        <f>W16*AE16</f>
        <v>1880</v>
      </c>
      <c r="Y16" s="106">
        <f>X16*AF17</f>
        <v>110920</v>
      </c>
      <c r="Z16" s="88" t="s">
        <v>108</v>
      </c>
      <c r="AA16" s="88" t="s">
        <v>107</v>
      </c>
      <c r="AB16" s="70"/>
      <c r="AD16" s="110" t="s">
        <v>92</v>
      </c>
      <c r="AE16" s="110">
        <v>8</v>
      </c>
      <c r="AF16" s="99">
        <f>59*8</f>
        <v>472</v>
      </c>
    </row>
    <row r="17" spans="1:32" x14ac:dyDescent="0.25">
      <c r="A17" s="99"/>
      <c r="B17" s="69"/>
      <c r="C17" s="110"/>
      <c r="D17" s="110"/>
      <c r="E17" s="110"/>
      <c r="F17" s="110"/>
      <c r="G17" s="110"/>
      <c r="H17" s="110"/>
      <c r="I17" s="110"/>
      <c r="J17" s="70"/>
      <c r="L17" s="69"/>
      <c r="M17" s="110"/>
      <c r="N17" s="110"/>
      <c r="O17" s="110"/>
      <c r="P17" s="110"/>
      <c r="Q17" s="110"/>
      <c r="R17" s="110"/>
      <c r="S17" s="70"/>
      <c r="U17" s="69"/>
      <c r="V17" s="110"/>
      <c r="W17" s="110"/>
      <c r="X17" s="110"/>
      <c r="Y17" s="110"/>
      <c r="Z17" s="110"/>
      <c r="AA17" s="110"/>
      <c r="AB17" s="70"/>
      <c r="AD17" s="110" t="s">
        <v>102</v>
      </c>
      <c r="AE17" s="110">
        <v>1</v>
      </c>
      <c r="AF17" s="99">
        <v>59</v>
      </c>
    </row>
    <row r="18" spans="1:32" x14ac:dyDescent="0.25">
      <c r="B18" s="69"/>
      <c r="C18" s="53" t="s">
        <v>71</v>
      </c>
      <c r="D18" s="53" t="s">
        <v>70</v>
      </c>
      <c r="E18" s="53"/>
      <c r="F18" s="80" t="s">
        <v>95</v>
      </c>
      <c r="G18" s="111" t="s">
        <v>109</v>
      </c>
      <c r="H18" s="98"/>
      <c r="I18" s="98"/>
      <c r="J18" s="112"/>
      <c r="K18" s="98"/>
      <c r="L18" s="69"/>
      <c r="M18" s="53" t="s">
        <v>71</v>
      </c>
      <c r="N18" s="53" t="s">
        <v>70</v>
      </c>
      <c r="O18" s="80" t="s">
        <v>95</v>
      </c>
      <c r="P18" s="111" t="s">
        <v>109</v>
      </c>
      <c r="Q18" s="98"/>
      <c r="R18" s="98"/>
      <c r="S18" s="112"/>
      <c r="T18" s="98"/>
      <c r="U18" s="69"/>
      <c r="V18" s="53" t="s">
        <v>71</v>
      </c>
      <c r="W18" s="53" t="s">
        <v>70</v>
      </c>
      <c r="X18" s="80" t="s">
        <v>95</v>
      </c>
      <c r="Y18" s="111" t="s">
        <v>109</v>
      </c>
      <c r="Z18" s="110"/>
      <c r="AA18" s="110"/>
      <c r="AB18" s="70"/>
    </row>
    <row r="19" spans="1:32" x14ac:dyDescent="0.25">
      <c r="B19" s="69"/>
      <c r="C19" s="50" t="s">
        <v>0</v>
      </c>
      <c r="D19" s="50">
        <v>0</v>
      </c>
      <c r="E19" s="110"/>
      <c r="F19" s="50">
        <f>D19*$AE10</f>
        <v>0</v>
      </c>
      <c r="G19" s="90">
        <f>D19*$AF10</f>
        <v>0</v>
      </c>
      <c r="H19" s="99"/>
      <c r="I19" s="99"/>
      <c r="J19" s="92"/>
      <c r="K19" s="99"/>
      <c r="L19" s="115"/>
      <c r="M19" s="50" t="s">
        <v>0</v>
      </c>
      <c r="N19" s="59">
        <v>0</v>
      </c>
      <c r="O19" s="50">
        <f>N19*$AE10</f>
        <v>0</v>
      </c>
      <c r="P19" s="90">
        <f>N19*$AF10</f>
        <v>0</v>
      </c>
      <c r="Q19" s="99"/>
      <c r="R19" s="99"/>
      <c r="S19" s="92"/>
      <c r="T19" s="99"/>
      <c r="U19" s="69"/>
      <c r="V19" s="50" t="s">
        <v>0</v>
      </c>
      <c r="W19" s="50">
        <v>1</v>
      </c>
      <c r="X19" s="50">
        <f>W19*$AE10</f>
        <v>160</v>
      </c>
      <c r="Y19" s="90">
        <f>W19*$AF10</f>
        <v>3600</v>
      </c>
      <c r="Z19" s="110"/>
      <c r="AA19" s="110"/>
      <c r="AB19" s="70"/>
    </row>
    <row r="20" spans="1:32" x14ac:dyDescent="0.25">
      <c r="B20" s="69"/>
      <c r="C20" s="51" t="s">
        <v>1</v>
      </c>
      <c r="D20" s="51">
        <v>0</v>
      </c>
      <c r="E20" s="110"/>
      <c r="F20" s="51">
        <f>D20*$AE11</f>
        <v>0</v>
      </c>
      <c r="G20" s="87">
        <f>D20*$AF11</f>
        <v>0</v>
      </c>
      <c r="H20" s="99"/>
      <c r="I20" s="99"/>
      <c r="J20" s="92"/>
      <c r="K20" s="99"/>
      <c r="L20" s="69"/>
      <c r="M20" s="51" t="s">
        <v>1</v>
      </c>
      <c r="N20" s="51">
        <v>0</v>
      </c>
      <c r="O20" s="51">
        <f>N20*$AE11</f>
        <v>0</v>
      </c>
      <c r="P20" s="87">
        <f>N20*$AF11</f>
        <v>0</v>
      </c>
      <c r="Q20" s="99"/>
      <c r="R20" s="99"/>
      <c r="S20" s="92"/>
      <c r="T20" s="99"/>
      <c r="U20" s="69"/>
      <c r="V20" s="51" t="s">
        <v>1</v>
      </c>
      <c r="W20" s="51">
        <v>1</v>
      </c>
      <c r="X20" s="51">
        <f>W20*$AE11</f>
        <v>80</v>
      </c>
      <c r="Y20" s="87">
        <f>W20*$AF11</f>
        <v>2500</v>
      </c>
      <c r="Z20" s="110"/>
      <c r="AA20" s="110"/>
      <c r="AB20" s="70"/>
    </row>
    <row r="21" spans="1:32" x14ac:dyDescent="0.25">
      <c r="B21" s="69"/>
      <c r="C21" s="51" t="s">
        <v>4</v>
      </c>
      <c r="D21" s="51">
        <v>0</v>
      </c>
      <c r="E21" s="110"/>
      <c r="F21" s="51">
        <f>D21*$AE12</f>
        <v>0</v>
      </c>
      <c r="G21" s="87">
        <f>D21*$AF12</f>
        <v>0</v>
      </c>
      <c r="H21" s="99"/>
      <c r="I21" s="99"/>
      <c r="J21" s="92"/>
      <c r="K21" s="99"/>
      <c r="L21" s="69"/>
      <c r="M21" s="51" t="s">
        <v>4</v>
      </c>
      <c r="N21" s="51">
        <v>0</v>
      </c>
      <c r="O21" s="51">
        <f>N21*$AE12</f>
        <v>0</v>
      </c>
      <c r="P21" s="87">
        <f>N21*$AF12</f>
        <v>0</v>
      </c>
      <c r="Q21" s="99"/>
      <c r="R21" s="99"/>
      <c r="S21" s="92"/>
      <c r="T21" s="99"/>
      <c r="U21" s="69"/>
      <c r="V21" s="51" t="s">
        <v>4</v>
      </c>
      <c r="W21" s="51">
        <v>2</v>
      </c>
      <c r="X21" s="51">
        <f>W21*$AE12</f>
        <v>80</v>
      </c>
      <c r="Y21" s="87">
        <f>W21*$AF12</f>
        <v>2600</v>
      </c>
      <c r="Z21" s="110"/>
      <c r="AA21" s="110"/>
      <c r="AB21" s="70"/>
    </row>
    <row r="22" spans="1:32" x14ac:dyDescent="0.25">
      <c r="B22" s="69"/>
      <c r="C22" s="51" t="s">
        <v>78</v>
      </c>
      <c r="D22" s="51">
        <v>0</v>
      </c>
      <c r="E22" s="110"/>
      <c r="F22" s="51">
        <f>D22*$AE13</f>
        <v>0</v>
      </c>
      <c r="G22" s="87">
        <f>D22*$AF13</f>
        <v>0</v>
      </c>
      <c r="H22" s="99"/>
      <c r="I22" s="99"/>
      <c r="J22" s="92"/>
      <c r="K22" s="99"/>
      <c r="L22" s="69"/>
      <c r="M22" s="51" t="s">
        <v>78</v>
      </c>
      <c r="N22" s="51">
        <v>0</v>
      </c>
      <c r="O22" s="51">
        <f>N22*$AE13</f>
        <v>0</v>
      </c>
      <c r="P22" s="87">
        <f>N22*$AF13</f>
        <v>0</v>
      </c>
      <c r="Q22" s="99"/>
      <c r="R22" s="99"/>
      <c r="S22" s="92"/>
      <c r="T22" s="99"/>
      <c r="U22" s="69"/>
      <c r="V22" s="51" t="s">
        <v>78</v>
      </c>
      <c r="W22" s="51">
        <v>6</v>
      </c>
      <c r="X22" s="51">
        <f>W22*$AE13</f>
        <v>240</v>
      </c>
      <c r="Y22" s="87">
        <f>W22*$AF13</f>
        <v>9000</v>
      </c>
      <c r="Z22" s="110"/>
      <c r="AA22" s="110"/>
      <c r="AB22" s="70"/>
    </row>
    <row r="23" spans="1:32" x14ac:dyDescent="0.25">
      <c r="B23" s="69"/>
      <c r="C23" s="51" t="s">
        <v>79</v>
      </c>
      <c r="D23" s="51">
        <v>0</v>
      </c>
      <c r="E23" s="110"/>
      <c r="F23" s="51">
        <f>D23*$AE14</f>
        <v>0</v>
      </c>
      <c r="G23" s="87">
        <f>D23*$AF14</f>
        <v>0</v>
      </c>
      <c r="H23" s="99"/>
      <c r="I23" s="99"/>
      <c r="J23" s="92"/>
      <c r="K23" s="99"/>
      <c r="L23" s="69"/>
      <c r="M23" s="51" t="s">
        <v>79</v>
      </c>
      <c r="N23" s="51">
        <v>2</v>
      </c>
      <c r="O23" s="51">
        <f>N23*$AE14</f>
        <v>48</v>
      </c>
      <c r="P23" s="87">
        <f>N23*$AF14</f>
        <v>1800</v>
      </c>
      <c r="Q23" s="99"/>
      <c r="R23" s="99"/>
      <c r="S23" s="92"/>
      <c r="T23" s="99"/>
      <c r="U23" s="69"/>
      <c r="V23" s="51" t="s">
        <v>79</v>
      </c>
      <c r="W23" s="51">
        <v>16</v>
      </c>
      <c r="X23" s="51">
        <f>W23*$AE14</f>
        <v>384</v>
      </c>
      <c r="Y23" s="87">
        <f>W23*$AF14</f>
        <v>14400</v>
      </c>
      <c r="Z23" s="110"/>
      <c r="AA23" s="110"/>
      <c r="AB23" s="70"/>
    </row>
    <row r="24" spans="1:32" x14ac:dyDescent="0.25">
      <c r="B24" s="69"/>
      <c r="C24" s="51" t="s">
        <v>80</v>
      </c>
      <c r="D24" s="51">
        <v>1</v>
      </c>
      <c r="E24" s="110"/>
      <c r="F24" s="51">
        <f>D24*$AE15</f>
        <v>24</v>
      </c>
      <c r="G24" s="87">
        <f>D24*$AF15</f>
        <v>1120</v>
      </c>
      <c r="H24" s="99"/>
      <c r="I24" s="99"/>
      <c r="J24" s="92"/>
      <c r="K24" s="99"/>
      <c r="L24" s="69"/>
      <c r="M24" s="51" t="s">
        <v>80</v>
      </c>
      <c r="N24" s="51">
        <v>2</v>
      </c>
      <c r="O24" s="51">
        <f>N24*$AE15</f>
        <v>48</v>
      </c>
      <c r="P24" s="87">
        <f>N24*$AF15</f>
        <v>2240</v>
      </c>
      <c r="Q24" s="99"/>
      <c r="R24" s="99"/>
      <c r="S24" s="92"/>
      <c r="T24" s="99"/>
      <c r="U24" s="69"/>
      <c r="V24" s="51" t="s">
        <v>80</v>
      </c>
      <c r="W24" s="51">
        <v>16</v>
      </c>
      <c r="X24" s="51">
        <f>W24*$AE15</f>
        <v>384</v>
      </c>
      <c r="Y24" s="87">
        <f>W24*$AF15</f>
        <v>17920</v>
      </c>
      <c r="Z24" s="110"/>
      <c r="AA24" s="110"/>
      <c r="AB24" s="70"/>
    </row>
    <row r="25" spans="1:32" x14ac:dyDescent="0.25">
      <c r="B25" s="69"/>
      <c r="C25" s="51" t="s">
        <v>88</v>
      </c>
      <c r="D25" s="51">
        <v>1</v>
      </c>
      <c r="E25" s="110"/>
      <c r="F25" s="51">
        <f>D25*$AE16</f>
        <v>8</v>
      </c>
      <c r="G25" s="87">
        <f>D25*$AF16</f>
        <v>472</v>
      </c>
      <c r="H25" s="99"/>
      <c r="I25" s="99"/>
      <c r="J25" s="92"/>
      <c r="K25" s="99"/>
      <c r="L25" s="69"/>
      <c r="M25" s="51" t="s">
        <v>88</v>
      </c>
      <c r="N25" s="51">
        <v>6</v>
      </c>
      <c r="O25" s="51">
        <f>N25*$AE16</f>
        <v>48</v>
      </c>
      <c r="P25" s="87">
        <f>N25*$AF16</f>
        <v>2832</v>
      </c>
      <c r="Q25" s="99"/>
      <c r="R25" s="99"/>
      <c r="S25" s="92"/>
      <c r="T25" s="99"/>
      <c r="U25" s="69"/>
      <c r="V25" s="51" t="s">
        <v>88</v>
      </c>
      <c r="W25" s="51">
        <v>58</v>
      </c>
      <c r="X25" s="51">
        <f>W25*$AE16</f>
        <v>464</v>
      </c>
      <c r="Y25" s="87">
        <f>W25*$AF16</f>
        <v>27376</v>
      </c>
      <c r="Z25" s="110"/>
      <c r="AA25" s="110"/>
      <c r="AB25" s="70"/>
    </row>
    <row r="26" spans="1:32" x14ac:dyDescent="0.25">
      <c r="B26" s="69"/>
      <c r="C26" s="52" t="s">
        <v>100</v>
      </c>
      <c r="D26" s="52">
        <v>8</v>
      </c>
      <c r="E26" s="110"/>
      <c r="F26" s="52">
        <f>D26*$AE17</f>
        <v>8</v>
      </c>
      <c r="G26" s="88">
        <f>D26*$AF17</f>
        <v>472</v>
      </c>
      <c r="H26" s="99"/>
      <c r="I26" s="99"/>
      <c r="J26" s="92"/>
      <c r="K26" s="99"/>
      <c r="L26" s="69"/>
      <c r="M26" s="52" t="s">
        <v>100</v>
      </c>
      <c r="N26" s="52">
        <v>14</v>
      </c>
      <c r="O26" s="52">
        <f>N26*$AE17</f>
        <v>14</v>
      </c>
      <c r="P26" s="88">
        <f>N26*$AF17</f>
        <v>826</v>
      </c>
      <c r="Q26" s="99"/>
      <c r="R26" s="99"/>
      <c r="S26" s="92"/>
      <c r="T26" s="99"/>
      <c r="U26" s="69"/>
      <c r="V26" s="52" t="s">
        <v>100</v>
      </c>
      <c r="W26" s="52">
        <v>100</v>
      </c>
      <c r="X26" s="52">
        <f>W26*$AE17</f>
        <v>100</v>
      </c>
      <c r="Y26" s="88">
        <f>W26*$AF17</f>
        <v>5900</v>
      </c>
      <c r="Z26" s="110"/>
      <c r="AA26" s="110"/>
      <c r="AB26" s="70"/>
    </row>
    <row r="27" spans="1:32" x14ac:dyDescent="0.25">
      <c r="B27" s="69"/>
      <c r="C27" s="110"/>
      <c r="D27" s="110"/>
      <c r="E27" s="110"/>
      <c r="F27" s="89">
        <f>SUM(F19:F26)</f>
        <v>40</v>
      </c>
      <c r="G27" s="88">
        <f>SUM(G19:G25)</f>
        <v>1592</v>
      </c>
      <c r="H27" s="99"/>
      <c r="I27" s="99"/>
      <c r="J27" s="92"/>
      <c r="K27" s="99"/>
      <c r="L27" s="69"/>
      <c r="M27" s="110"/>
      <c r="N27" s="110"/>
      <c r="O27" s="89">
        <f>SUM(O19:O26)</f>
        <v>158</v>
      </c>
      <c r="P27" s="88">
        <f>SUM(P19:P25)</f>
        <v>6872</v>
      </c>
      <c r="Q27" s="99"/>
      <c r="R27" s="99"/>
      <c r="S27" s="92"/>
      <c r="T27" s="99"/>
      <c r="U27" s="69"/>
      <c r="V27" s="110"/>
      <c r="W27" s="110"/>
      <c r="X27" s="89">
        <f>SUM(X19:X26)</f>
        <v>1892</v>
      </c>
      <c r="Y27" s="88">
        <f>SUM(Y19:Y25)</f>
        <v>77396</v>
      </c>
      <c r="Z27" s="110"/>
      <c r="AA27" s="110"/>
      <c r="AB27" s="70"/>
    </row>
    <row r="28" spans="1:32" ht="6.75" customHeight="1" thickBot="1" x14ac:dyDescent="0.3">
      <c r="A28" s="86"/>
      <c r="B28" s="71"/>
      <c r="C28" s="93"/>
      <c r="D28" s="93"/>
      <c r="E28" s="93"/>
      <c r="F28" s="93"/>
      <c r="G28" s="93"/>
      <c r="H28" s="93"/>
      <c r="I28" s="93"/>
      <c r="J28" s="73"/>
      <c r="L28" s="71"/>
      <c r="M28" s="93"/>
      <c r="N28" s="93"/>
      <c r="O28" s="93"/>
      <c r="P28" s="93"/>
      <c r="Q28" s="93"/>
      <c r="R28" s="93"/>
      <c r="S28" s="73"/>
      <c r="U28" s="71"/>
      <c r="V28" s="93"/>
      <c r="W28" s="93"/>
      <c r="X28" s="93"/>
      <c r="Y28" s="93"/>
      <c r="Z28" s="93"/>
      <c r="AA28" s="93"/>
      <c r="AB28" s="73"/>
    </row>
    <row r="32" spans="1:32" x14ac:dyDescent="0.25">
      <c r="A32" s="86"/>
    </row>
  </sheetData>
  <mergeCells count="3">
    <mergeCell ref="C4:I4"/>
    <mergeCell ref="M4:R4"/>
    <mergeCell ref="V4:AA4"/>
  </mergeCells>
  <phoneticPr fontId="4" type="noConversion"/>
  <conditionalFormatting sqref="F27">
    <cfRule type="expression" dxfId="8" priority="10">
      <formula>IF($F$27&gt;($C$6*1.05),TRUE,FALSE)</formula>
    </cfRule>
    <cfRule type="expression" dxfId="7" priority="11">
      <formula>IF($F$27&gt;=$C$6,TRUE,FALSE)</formula>
    </cfRule>
    <cfRule type="expression" dxfId="6" priority="12">
      <formula>IF($F$27&lt;$C$6,TRUE,FALSE)</formula>
    </cfRule>
  </conditionalFormatting>
  <conditionalFormatting sqref="O27">
    <cfRule type="expression" dxfId="5" priority="13">
      <formula>IF($O$27&gt;($M$6*1.05),TRUE,FALSE)</formula>
    </cfRule>
    <cfRule type="expression" dxfId="4" priority="14">
      <formula>IF($O$27&gt;=$M$6,TRUE,FALSE)</formula>
    </cfRule>
    <cfRule type="expression" dxfId="3" priority="15">
      <formula>IF($O$27&lt;$M$6,TRUE,FALSE)</formula>
    </cfRule>
  </conditionalFormatting>
  <conditionalFormatting sqref="X27">
    <cfRule type="expression" dxfId="2" priority="16">
      <formula>IF($X$27&gt;($V$6*1.05),TRUE,FALSE)</formula>
    </cfRule>
    <cfRule type="expression" dxfId="1" priority="17">
      <formula>IF($X$27&gt;=$V$6,TRUE,FALSE)</formula>
    </cfRule>
    <cfRule type="expression" dxfId="0" priority="18">
      <formula>IF($X$27&lt;$V$6,TRUE,FALSE)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56E3-90D8-439C-AE10-1EAABBD6CDF5}">
  <dimension ref="A1"/>
  <sheetViews>
    <sheetView workbookViewId="0">
      <selection activeCell="L25" sqref="L25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A1F1-4CED-4299-874D-04E2E6855E96}">
  <dimension ref="A3:J12"/>
  <sheetViews>
    <sheetView workbookViewId="0">
      <selection activeCell="C23" sqref="C23"/>
    </sheetView>
  </sheetViews>
  <sheetFormatPr defaultRowHeight="15" x14ac:dyDescent="0.25"/>
  <cols>
    <col min="1" max="1" width="40.140625" bestFit="1" customWidth="1"/>
    <col min="2" max="2" width="10.5703125" bestFit="1" customWidth="1"/>
    <col min="3" max="3" width="10.5703125" customWidth="1"/>
    <col min="4" max="4" width="12.140625" bestFit="1" customWidth="1"/>
    <col min="5" max="5" width="12.42578125" bestFit="1" customWidth="1"/>
    <col min="6" max="6" width="15.140625" bestFit="1" customWidth="1"/>
    <col min="7" max="7" width="15.140625" customWidth="1"/>
    <col min="8" max="8" width="20.140625" bestFit="1" customWidth="1"/>
    <col min="9" max="9" width="12" customWidth="1"/>
  </cols>
  <sheetData>
    <row r="3" spans="1:10" x14ac:dyDescent="0.25">
      <c r="A3" s="13" t="s">
        <v>2</v>
      </c>
      <c r="B3" s="10" t="s">
        <v>3</v>
      </c>
      <c r="C3" s="10" t="s">
        <v>16</v>
      </c>
      <c r="D3" s="10" t="s">
        <v>6</v>
      </c>
      <c r="E3" s="10" t="s">
        <v>18</v>
      </c>
      <c r="F3" s="10" t="s">
        <v>5</v>
      </c>
      <c r="G3" s="10" t="s">
        <v>17</v>
      </c>
      <c r="H3" s="12" t="s">
        <v>11</v>
      </c>
      <c r="I3" s="1"/>
      <c r="J3" s="1"/>
    </row>
    <row r="4" spans="1:10" x14ac:dyDescent="0.25">
      <c r="A4" s="14" t="s">
        <v>7</v>
      </c>
      <c r="B4" s="15">
        <v>1500</v>
      </c>
      <c r="C4" s="16">
        <v>0.9</v>
      </c>
      <c r="D4" s="17">
        <v>6</v>
      </c>
      <c r="E4" s="17">
        <v>1</v>
      </c>
      <c r="F4" s="18">
        <f t="shared" ref="F4:F9" si="0">E4*B4</f>
        <v>1500</v>
      </c>
      <c r="G4" s="18">
        <f t="shared" ref="G4:G9" si="1">F4*C4</f>
        <v>1350</v>
      </c>
      <c r="H4" s="19">
        <f t="shared" ref="H4:H9" si="2">D4*E4</f>
        <v>6</v>
      </c>
    </row>
    <row r="5" spans="1:10" x14ac:dyDescent="0.25">
      <c r="A5" s="20" t="s">
        <v>9</v>
      </c>
      <c r="B5" s="21">
        <v>675</v>
      </c>
      <c r="C5" s="22">
        <v>0.9</v>
      </c>
      <c r="D5">
        <v>3</v>
      </c>
      <c r="E5">
        <v>2</v>
      </c>
      <c r="F5" s="23">
        <f t="shared" si="0"/>
        <v>1350</v>
      </c>
      <c r="G5" s="23">
        <f t="shared" si="1"/>
        <v>1215</v>
      </c>
      <c r="H5" s="24">
        <f t="shared" si="2"/>
        <v>6</v>
      </c>
    </row>
    <row r="6" spans="1:10" x14ac:dyDescent="0.25">
      <c r="A6" s="20" t="s">
        <v>19</v>
      </c>
      <c r="B6" s="21">
        <v>20</v>
      </c>
      <c r="C6" s="22">
        <v>0.4</v>
      </c>
      <c r="D6">
        <v>0.01</v>
      </c>
      <c r="E6">
        <v>5</v>
      </c>
      <c r="F6" s="23">
        <f t="shared" si="0"/>
        <v>100</v>
      </c>
      <c r="G6" s="23">
        <f t="shared" si="1"/>
        <v>40</v>
      </c>
      <c r="H6" s="24">
        <f t="shared" si="2"/>
        <v>0.05</v>
      </c>
    </row>
    <row r="7" spans="1:10" x14ac:dyDescent="0.25">
      <c r="A7" s="20" t="s">
        <v>20</v>
      </c>
      <c r="B7" s="21">
        <v>225</v>
      </c>
      <c r="C7" s="22">
        <v>0.95</v>
      </c>
      <c r="D7">
        <v>1</v>
      </c>
      <c r="E7">
        <v>2</v>
      </c>
      <c r="F7" s="23">
        <f t="shared" si="0"/>
        <v>450</v>
      </c>
      <c r="G7" s="23">
        <f t="shared" si="1"/>
        <v>427.5</v>
      </c>
      <c r="H7" s="24">
        <f t="shared" si="2"/>
        <v>2</v>
      </c>
    </row>
    <row r="8" spans="1:10" x14ac:dyDescent="0.25">
      <c r="A8" s="20" t="s">
        <v>10</v>
      </c>
      <c r="B8" s="21">
        <v>200</v>
      </c>
      <c r="C8" s="22">
        <v>0.9</v>
      </c>
      <c r="D8">
        <v>1</v>
      </c>
      <c r="E8">
        <v>5</v>
      </c>
      <c r="F8" s="23">
        <f t="shared" si="0"/>
        <v>1000</v>
      </c>
      <c r="G8" s="23">
        <f t="shared" si="1"/>
        <v>900</v>
      </c>
      <c r="H8" s="24">
        <f t="shared" si="2"/>
        <v>5</v>
      </c>
    </row>
    <row r="9" spans="1:10" x14ac:dyDescent="0.25">
      <c r="A9" s="25" t="s">
        <v>8</v>
      </c>
      <c r="B9" s="8">
        <v>20</v>
      </c>
      <c r="C9" s="4">
        <v>0.4</v>
      </c>
      <c r="D9" s="2">
        <v>0.01</v>
      </c>
      <c r="E9" s="2">
        <v>10</v>
      </c>
      <c r="F9" s="3">
        <f t="shared" si="0"/>
        <v>200</v>
      </c>
      <c r="G9" s="3">
        <f t="shared" si="1"/>
        <v>80</v>
      </c>
      <c r="H9" s="26">
        <f t="shared" si="2"/>
        <v>0.1</v>
      </c>
    </row>
    <row r="10" spans="1:10" x14ac:dyDescent="0.25">
      <c r="F10" s="11">
        <f>SUM(F4:F9)</f>
        <v>4600</v>
      </c>
      <c r="G10" s="9">
        <f>SUM(G4:G9)</f>
        <v>4012.5</v>
      </c>
      <c r="H10" s="12">
        <f>SUM(H4:H9)</f>
        <v>19.150000000000002</v>
      </c>
    </row>
    <row r="12" spans="1:10" x14ac:dyDescent="0.25">
      <c r="E12" s="7" t="s">
        <v>21</v>
      </c>
      <c r="F12" s="5">
        <f>F10*12</f>
        <v>55200</v>
      </c>
      <c r="G12" s="5">
        <f>G10*12</f>
        <v>48150</v>
      </c>
      <c r="H12" s="6">
        <f>H10*12</f>
        <v>229.8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Descriptions</vt:lpstr>
      <vt:lpstr>3rd Party Services</vt:lpstr>
      <vt:lpstr>Customer Mix</vt:lpstr>
      <vt:lpstr>Outgoings</vt:lpstr>
      <vt:lpstr>Forecast</vt:lpstr>
      <vt:lpstr>Summary</vt:lpstr>
      <vt:lpstr>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Henning</dc:creator>
  <cp:lastModifiedBy>Phil Henning</cp:lastModifiedBy>
  <dcterms:created xsi:type="dcterms:W3CDTF">2025-04-23T20:39:50Z</dcterms:created>
  <dcterms:modified xsi:type="dcterms:W3CDTF">2026-03-13T11:41:32Z</dcterms:modified>
</cp:coreProperties>
</file>